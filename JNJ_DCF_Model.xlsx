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varun/Documents/Financial Models/"/>
    </mc:Choice>
  </mc:AlternateContent>
  <xr:revisionPtr revIDLastSave="0" documentId="13_ncr:1_{4DD82C30-EB37-2944-A42F-FB7777CCBFDC}" xr6:coauthVersionLast="47" xr6:coauthVersionMax="47" xr10:uidLastSave="{00000000-0000-0000-0000-000000000000}"/>
  <bookViews>
    <workbookView xWindow="0" yWindow="780" windowWidth="34200" windowHeight="20120" tabRatio="500" xr2:uid="{00000000-000D-0000-FFFF-FFFF00000000}"/>
  </bookViews>
  <sheets>
    <sheet name="Cover" sheetId="1" r:id="rId1"/>
    <sheet name="Assumptions" sheetId="2" r:id="rId2"/>
    <sheet name="IS &amp; FCF" sheetId="3" r:id="rId3"/>
    <sheet name="DCF Valuation" sheetId="4" r:id="rId4"/>
    <sheet name="Sensitivity 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7" i="5" l="1"/>
  <c r="B22" i="5"/>
  <c r="B21" i="5"/>
  <c r="B40" i="4"/>
  <c r="B29" i="4"/>
  <c r="B27" i="4"/>
  <c r="B25" i="4"/>
  <c r="B16" i="4"/>
  <c r="B15" i="4"/>
  <c r="F10" i="4"/>
  <c r="E10" i="4"/>
  <c r="D10" i="4"/>
  <c r="C10" i="4"/>
  <c r="B10" i="4"/>
  <c r="E4" i="4"/>
  <c r="B4" i="4"/>
  <c r="D32" i="3"/>
  <c r="C32" i="3"/>
  <c r="B32" i="3"/>
  <c r="C20" i="3"/>
  <c r="C22" i="3" s="1"/>
  <c r="I19" i="3"/>
  <c r="H19" i="3"/>
  <c r="G19" i="3"/>
  <c r="F19" i="3"/>
  <c r="E19" i="3"/>
  <c r="D16" i="3"/>
  <c r="D20" i="3" s="1"/>
  <c r="D22" i="3" s="1"/>
  <c r="D7" i="3"/>
  <c r="D12" i="3" s="1"/>
  <c r="D13" i="3" s="1"/>
  <c r="C7" i="3"/>
  <c r="C12" i="3" s="1"/>
  <c r="C16" i="3" s="1"/>
  <c r="B7" i="3"/>
  <c r="E5" i="3"/>
  <c r="E34" i="3" s="1"/>
  <c r="B37" i="2"/>
  <c r="B24" i="4" s="1"/>
  <c r="B27" i="2"/>
  <c r="B25" i="2"/>
  <c r="B23" i="2"/>
  <c r="B28" i="2" s="1"/>
  <c r="F17" i="2"/>
  <c r="E17" i="2"/>
  <c r="D17" i="2"/>
  <c r="C17" i="2"/>
  <c r="D19" i="1"/>
  <c r="D17" i="1"/>
  <c r="D11" i="1"/>
  <c r="C25" i="3" l="1"/>
  <c r="C23" i="3"/>
  <c r="D23" i="3"/>
  <c r="D25" i="3"/>
  <c r="B8" i="3"/>
  <c r="B12" i="3"/>
  <c r="E15" i="3"/>
  <c r="E32" i="3" s="1"/>
  <c r="C29" i="3"/>
  <c r="C17" i="3"/>
  <c r="E33" i="3"/>
  <c r="E10" i="3"/>
  <c r="F5" i="3"/>
  <c r="D29" i="3"/>
  <c r="D17" i="3"/>
  <c r="E11" i="3"/>
  <c r="C8" i="3"/>
  <c r="C13" i="3"/>
  <c r="D8" i="3"/>
  <c r="E6" i="3"/>
  <c r="E7" i="3" s="1"/>
  <c r="E12" i="3" l="1"/>
  <c r="E8" i="3"/>
  <c r="C30" i="3"/>
  <c r="C31" i="3" s="1"/>
  <c r="C35" i="3" s="1"/>
  <c r="C36" i="3" s="1"/>
  <c r="D30" i="3"/>
  <c r="D31" i="3" s="1"/>
  <c r="D35" i="3" s="1"/>
  <c r="D36" i="3" s="1"/>
  <c r="F33" i="3"/>
  <c r="F10" i="3"/>
  <c r="F6" i="3"/>
  <c r="F7" i="3" s="1"/>
  <c r="F11" i="3"/>
  <c r="G5" i="3"/>
  <c r="F34" i="3"/>
  <c r="F15" i="3"/>
  <c r="F32" i="3" s="1"/>
  <c r="B16" i="3"/>
  <c r="B13" i="3"/>
  <c r="F12" i="3" l="1"/>
  <c r="F8" i="3"/>
  <c r="G10" i="3"/>
  <c r="G6" i="3"/>
  <c r="G33" i="3"/>
  <c r="G11" i="3"/>
  <c r="H5" i="3"/>
  <c r="G34" i="3"/>
  <c r="G15" i="3"/>
  <c r="G32" i="3" s="1"/>
  <c r="G7" i="3"/>
  <c r="B20" i="3"/>
  <c r="B22" i="3" s="1"/>
  <c r="B29" i="3"/>
  <c r="B17" i="3"/>
  <c r="E16" i="3"/>
  <c r="E13" i="3"/>
  <c r="E29" i="3" l="1"/>
  <c r="E20" i="3"/>
  <c r="E17" i="3"/>
  <c r="H6" i="3"/>
  <c r="H7" i="3"/>
  <c r="H8" i="3" s="1"/>
  <c r="H11" i="3"/>
  <c r="I5" i="3"/>
  <c r="H34" i="3"/>
  <c r="H15" i="3"/>
  <c r="H32" i="3" s="1"/>
  <c r="H10" i="3"/>
  <c r="H33" i="3"/>
  <c r="B25" i="3"/>
  <c r="B23" i="3"/>
  <c r="G12" i="3"/>
  <c r="G8" i="3"/>
  <c r="B30" i="3"/>
  <c r="B31" i="3" s="1"/>
  <c r="B35" i="3" s="1"/>
  <c r="B36" i="3" s="1"/>
  <c r="F16" i="3"/>
  <c r="F13" i="3"/>
  <c r="G16" i="3" l="1"/>
  <c r="G13" i="3"/>
  <c r="I34" i="3"/>
  <c r="I15" i="3"/>
  <c r="I32" i="3" s="1"/>
  <c r="I11" i="3"/>
  <c r="I6" i="3"/>
  <c r="I7" i="3" s="1"/>
  <c r="I10" i="3"/>
  <c r="I33" i="3"/>
  <c r="E21" i="3"/>
  <c r="E22" i="3"/>
  <c r="H12" i="3"/>
  <c r="F29" i="3"/>
  <c r="F20" i="3"/>
  <c r="F17" i="3"/>
  <c r="E30" i="3"/>
  <c r="E31" i="3"/>
  <c r="E35" i="3" s="1"/>
  <c r="I12" i="3" l="1"/>
  <c r="I8" i="3"/>
  <c r="F21" i="3"/>
  <c r="F22" i="3"/>
  <c r="F30" i="3"/>
  <c r="F31" i="3"/>
  <c r="F35" i="3" s="1"/>
  <c r="H16" i="3"/>
  <c r="H13" i="3"/>
  <c r="E25" i="3"/>
  <c r="E23" i="3"/>
  <c r="B8" i="4"/>
  <c r="B11" i="4" s="1"/>
  <c r="E36" i="3"/>
  <c r="G29" i="3"/>
  <c r="G20" i="3"/>
  <c r="G17" i="3"/>
  <c r="G21" i="3" l="1"/>
  <c r="G22" i="3"/>
  <c r="G30" i="3"/>
  <c r="G31" i="3"/>
  <c r="G35" i="3" s="1"/>
  <c r="H20" i="3"/>
  <c r="H29" i="3"/>
  <c r="H17" i="3"/>
  <c r="C8" i="4"/>
  <c r="C11" i="4" s="1"/>
  <c r="F36" i="3"/>
  <c r="F25" i="3"/>
  <c r="F23" i="3"/>
  <c r="B38" i="4"/>
  <c r="B41" i="4" s="1"/>
  <c r="I16" i="3"/>
  <c r="I13" i="3"/>
  <c r="I20" i="3" l="1"/>
  <c r="I29" i="3"/>
  <c r="I17" i="3"/>
  <c r="D8" i="4"/>
  <c r="D11" i="4" s="1"/>
  <c r="G36" i="3"/>
  <c r="H30" i="3"/>
  <c r="H31" i="3" s="1"/>
  <c r="H35" i="3" s="1"/>
  <c r="H21" i="3"/>
  <c r="H22" i="3" s="1"/>
  <c r="G25" i="3"/>
  <c r="G23" i="3"/>
  <c r="H25" i="3" l="1"/>
  <c r="H23" i="3"/>
  <c r="E8" i="4"/>
  <c r="E11" i="4" s="1"/>
  <c r="H36" i="3"/>
  <c r="I30" i="3"/>
  <c r="I31" i="3" s="1"/>
  <c r="I35" i="3" s="1"/>
  <c r="I22" i="3"/>
  <c r="I21" i="3"/>
  <c r="B14" i="4" l="1"/>
  <c r="B17" i="4" s="1"/>
  <c r="B18" i="4" s="1"/>
  <c r="B22" i="4" s="1"/>
  <c r="F8" i="4"/>
  <c r="F11" i="4" s="1"/>
  <c r="B21" i="4" s="1"/>
  <c r="I36" i="3"/>
  <c r="C11" i="5"/>
  <c r="G9" i="5"/>
  <c r="H10" i="5"/>
  <c r="F10" i="5"/>
  <c r="F8" i="5"/>
  <c r="C16" i="5"/>
  <c r="F7" i="5"/>
  <c r="D11" i="5"/>
  <c r="G10" i="5"/>
  <c r="C14" i="5"/>
  <c r="E8" i="5"/>
  <c r="D12" i="5"/>
  <c r="C15" i="5"/>
  <c r="H12" i="5"/>
  <c r="G16" i="5"/>
  <c r="H16" i="5"/>
  <c r="D14" i="5"/>
  <c r="G12" i="5"/>
  <c r="E16" i="5"/>
  <c r="E10" i="5"/>
  <c r="E15" i="5"/>
  <c r="E9" i="5"/>
  <c r="E12" i="5"/>
  <c r="E14" i="5"/>
  <c r="F9" i="5"/>
  <c r="F12" i="5"/>
  <c r="D13" i="5"/>
  <c r="C12" i="5"/>
  <c r="E11" i="5"/>
  <c r="H7" i="5"/>
  <c r="G11" i="5"/>
  <c r="G7" i="5"/>
  <c r="D16" i="5"/>
  <c r="H8" i="5"/>
  <c r="H11" i="5"/>
  <c r="C8" i="5"/>
  <c r="H15" i="5"/>
  <c r="C10" i="5"/>
  <c r="D7" i="5"/>
  <c r="C9" i="5"/>
  <c r="H14" i="5"/>
  <c r="D10" i="5"/>
  <c r="F15" i="5"/>
  <c r="H13" i="5"/>
  <c r="F16" i="5"/>
  <c r="F11" i="5"/>
  <c r="D9" i="5"/>
  <c r="H9" i="5"/>
  <c r="G13" i="5"/>
  <c r="G14" i="5"/>
  <c r="D15" i="5"/>
  <c r="E13" i="5"/>
  <c r="F14" i="5"/>
  <c r="E7" i="5"/>
  <c r="G15" i="5"/>
  <c r="D8" i="5"/>
  <c r="C13" i="5"/>
  <c r="C7" i="5"/>
  <c r="F13" i="5"/>
  <c r="G8" i="5"/>
  <c r="I25" i="3"/>
  <c r="I23" i="3"/>
  <c r="B23" i="4" l="1"/>
  <c r="B23" i="5"/>
  <c r="B33" i="4"/>
  <c r="B34" i="4"/>
  <c r="B24" i="5"/>
  <c r="B37" i="4" l="1"/>
  <c r="B39" i="4" s="1"/>
  <c r="B25" i="5"/>
  <c r="B26" i="4"/>
  <c r="B28" i="4" s="1"/>
  <c r="D13" i="1" l="1"/>
  <c r="B26" i="5"/>
  <c r="B30" i="4"/>
  <c r="B28" i="5" l="1"/>
  <c r="D15" i="1"/>
</calcChain>
</file>

<file path=xl/sharedStrings.xml><?xml version="1.0" encoding="utf-8"?>
<sst xmlns="http://schemas.openxmlformats.org/spreadsheetml/2006/main" count="178" uniqueCount="151">
  <si>
    <t>JOHNSON &amp; JOHNSON (JNJ)</t>
  </si>
  <si>
    <t>Discounted Cash Flow (DCF) Analysis  |  Portfolio Financial Model  |  April 2026</t>
  </si>
  <si>
    <t>KEY MODEL OUTPUTS</t>
  </si>
  <si>
    <t>Current Share Price (Apr 2026)</t>
  </si>
  <si>
    <t>Implied Share Price (DCF)</t>
  </si>
  <si>
    <t>Implied Upside / (Downside)</t>
  </si>
  <si>
    <t>WACC</t>
  </si>
  <si>
    <t>Terminal Growth Rate</t>
  </si>
  <si>
    <t>Color Legend</t>
  </si>
  <si>
    <t>Blue Text</t>
  </si>
  <si>
    <t>Hardcoded input / assumption</t>
  </si>
  <si>
    <t>Black Text</t>
  </si>
  <si>
    <t>Formula / calculated value</t>
  </si>
  <si>
    <t>Green Text</t>
  </si>
  <si>
    <t>Cross-sheet reference</t>
  </si>
  <si>
    <t>ASSUMPTIONS &amp; MODEL INPUTS — Johnson &amp; Johnson (JNJ)</t>
  </si>
  <si>
    <t>Assumption</t>
  </si>
  <si>
    <t>FY2025E</t>
  </si>
  <si>
    <t>FY2026E</t>
  </si>
  <si>
    <t>FY2027E</t>
  </si>
  <si>
    <t>FY2028E</t>
  </si>
  <si>
    <t>FY2029E</t>
  </si>
  <si>
    <t>A  |  Revenue Growth Assumptions</t>
  </si>
  <si>
    <t xml:space="preserve">  Total Revenue Growth Rate (%)</t>
  </si>
  <si>
    <t>Source: JNJ Consensus Estimates &amp; Pipeline Analysis, Apr 2026</t>
  </si>
  <si>
    <t>B  |  Income Statement Margin Assumptions</t>
  </si>
  <si>
    <t xml:space="preserve">  Gross Margin (%)</t>
  </si>
  <si>
    <t xml:space="preserve">  Research &amp; Development (% Rev)</t>
  </si>
  <si>
    <t xml:space="preserve">  SG&amp;A (% Revenue)</t>
  </si>
  <si>
    <t xml:space="preserve">  D&amp;A (% Revenue)</t>
  </si>
  <si>
    <t xml:space="preserve">  Capital Expenditures (% Rev)</t>
  </si>
  <si>
    <t xml:space="preserve">  Change in NWC (% Rev Δ)</t>
  </si>
  <si>
    <t>C  |  Other P&amp;L Assumptions</t>
  </si>
  <si>
    <t xml:space="preserve">  Net Interest Expense ($M)</t>
  </si>
  <si>
    <t xml:space="preserve">  Effective Tax Rate (%)</t>
  </si>
  <si>
    <t>Consistent with JNJ guidance; single rate applied to all projection years</t>
  </si>
  <si>
    <t>D  |  WACC Build (Capital Asset Pricing Model)</t>
  </si>
  <si>
    <t xml:space="preserve">  Risk-Free Rate (10Y UST)</t>
  </si>
  <si>
    <t>Source: US Treasury, Apr 2026</t>
  </si>
  <si>
    <t xml:space="preserve">  Equity Risk Premium (ERP)</t>
  </si>
  <si>
    <t>Source: Damodaran Implied ERP, Jan 2026</t>
  </si>
  <si>
    <t xml:space="preserve">  Levered Beta</t>
  </si>
  <si>
    <t>Source: Bloomberg 5Y Monthly Beta vs. S&amp;P 500, Apr 2026</t>
  </si>
  <si>
    <t xml:space="preserve">  Cost of Equity — CAPM [=Rf + β × ERP]</t>
  </si>
  <si>
    <t xml:space="preserve">  Pre-Tax Cost of Debt</t>
  </si>
  <si>
    <t>JNJ AA-rated; reflects blended coupon on outstanding debt</t>
  </si>
  <si>
    <t xml:space="preserve">  After-Tax Cost of Debt [=Kd × (1 − t)]</t>
  </si>
  <si>
    <t xml:space="preserve">  Equity Weight (% Total Capital)</t>
  </si>
  <si>
    <t xml:space="preserve">  Debt Weight (% Total Capital) [=1 − Equity Wt.]</t>
  </si>
  <si>
    <t xml:space="preserve">  WACC  [= Ke×We + Kd×Wd]</t>
  </si>
  <si>
    <t>E  |  Terminal Value Assumptions</t>
  </si>
  <si>
    <t xml:space="preserve">  Terminal Growth Rate (g) — Gordon Growth Model</t>
  </si>
  <si>
    <t xml:space="preserve">  Exit EV/EBITDA Multiple (Cross-Check)</t>
  </si>
  <si>
    <t>F  |  Balance Sheet Data (for Equity Bridge)</t>
  </si>
  <si>
    <t xml:space="preserve">  Total Debt ($M)</t>
  </si>
  <si>
    <t>Source: JNJ FY2024 10-K, Balance Sheet</t>
  </si>
  <si>
    <t xml:space="preserve">  Cash &amp; Equivalents ($M)</t>
  </si>
  <si>
    <t xml:space="preserve">  Net Debt ($M)  [= Debt − Cash]</t>
  </si>
  <si>
    <t xml:space="preserve">  Minority Interest ($M)</t>
  </si>
  <si>
    <t>Source: JNJ FY2024 10-K (Kenvue stake retained)</t>
  </si>
  <si>
    <t xml:space="preserve">  Shares Outstanding (M)</t>
  </si>
  <si>
    <t>Source: JNJ FY2024 10-K, diluted share count</t>
  </si>
  <si>
    <t xml:space="preserve">  Current Share Price ($)</t>
  </si>
  <si>
    <t>Source: Market price, approx. Apr 2026</t>
  </si>
  <si>
    <t>JOHNSON &amp; JOHNSON (JNJ) — Income Statement &amp; Free Cash Flow Build  ($M)</t>
  </si>
  <si>
    <t>Figures in $M unless noted</t>
  </si>
  <si>
    <t>FY2022A</t>
  </si>
  <si>
    <t>FY2023A</t>
  </si>
  <si>
    <t>FY2024A</t>
  </si>
  <si>
    <t>Notes / Sources</t>
  </si>
  <si>
    <t>INCOME STATEMENT</t>
  </si>
  <si>
    <t>Revenue</t>
  </si>
  <si>
    <t>Source: JNJ 10-K FY2022–FY2024; FY2023 reflects Kenvue spin-off (May 2023)</t>
  </si>
  <si>
    <t xml:space="preserve">  (-) Cost of Products Sold</t>
  </si>
  <si>
    <t>Source: JNJ 10-K FY2022–FY2024</t>
  </si>
  <si>
    <t>Gross Profit</t>
  </si>
  <si>
    <t xml:space="preserve">  Gross Margin %</t>
  </si>
  <si>
    <t xml:space="preserve">  (-) Research &amp; Development</t>
  </si>
  <si>
    <t xml:space="preserve">  (-) Selling, Marketing &amp; Administrative</t>
  </si>
  <si>
    <t>EBITDA</t>
  </si>
  <si>
    <t xml:space="preserve">  EBITDA Margin %</t>
  </si>
  <si>
    <t xml:space="preserve">  (-) Depreciation &amp; Amortization</t>
  </si>
  <si>
    <t>Includes acquired intangible amortization; Source: JNJ 10-K FY2022–FY2024</t>
  </si>
  <si>
    <t>EBIT (Operating Income)</t>
  </si>
  <si>
    <t xml:space="preserve">  EBIT Margin %</t>
  </si>
  <si>
    <t xml:space="preserve">  (-) Net Interest Expense</t>
  </si>
  <si>
    <t>Source: JNJ 10-K; projected per Assumptions tab</t>
  </si>
  <si>
    <t>Pre-Tax Income (EBT)</t>
  </si>
  <si>
    <t xml:space="preserve">  (-) Income Taxes</t>
  </si>
  <si>
    <t>Net Income</t>
  </si>
  <si>
    <t xml:space="preserve">  Net Margin %</t>
  </si>
  <si>
    <t xml:space="preserve">  Diluted EPS ($)</t>
  </si>
  <si>
    <t>FREE CASH FLOW BUILD — Unlevered FCF</t>
  </si>
  <si>
    <t xml:space="preserve">  EBIT</t>
  </si>
  <si>
    <t xml:space="preserve">  (-) Cash Taxes on EBIT  [EBIT × Tax Rate]</t>
  </si>
  <si>
    <t>NOPAT  [Net Operating Profit After Tax]</t>
  </si>
  <si>
    <t xml:space="preserve">  (+) Depreciation &amp; Amortization</t>
  </si>
  <si>
    <t xml:space="preserve">  (-) Capital Expenditures</t>
  </si>
  <si>
    <t>Source: JNJ 10-K Cash Flow Statement FY2022–FY2024</t>
  </si>
  <si>
    <t xml:space="preserve">  (-) Increase in Net Working Capital</t>
  </si>
  <si>
    <t>Positive = cash outflow (NWC increase); Source: JNJ 10-K FY2022–FY2024</t>
  </si>
  <si>
    <t>Unlevered Free Cash Flow (UFCF)</t>
  </si>
  <si>
    <t xml:space="preserve">  UFCF Margin %</t>
  </si>
  <si>
    <t>JOHNSON &amp; JOHNSON (JNJ) — DCF Valuation  ($M, except per-share data)</t>
  </si>
  <si>
    <t>Key Valuation Assumptions</t>
  </si>
  <si>
    <t xml:space="preserve">  WACC</t>
  </si>
  <si>
    <t xml:space="preserve">  Terminal Growth Rate (g)</t>
  </si>
  <si>
    <t>Projection Period Cash Flows</t>
  </si>
  <si>
    <t>Year</t>
  </si>
  <si>
    <t xml:space="preserve">  Unlevered Free Cash Flow ($M)</t>
  </si>
  <si>
    <t xml:space="preserve">  Discount Period (End-of-Year Convention)</t>
  </si>
  <si>
    <t xml:space="preserve">  Discount Factor  [= 1 ÷ (1 + WACC)^t]</t>
  </si>
  <si>
    <t xml:space="preserve">  PV of UFCF  [= UFCF × Discount Factor]</t>
  </si>
  <si>
    <t>Terminal Value — Gordon Growth Model  [TV = UFCF × (1+g) ÷ (WACC − g)]</t>
  </si>
  <si>
    <t xml:space="preserve">  Terminal Year UFCF ($M)  [FY2029E]</t>
  </si>
  <si>
    <t xml:space="preserve">  Terminal Value ($M)  [= UFCF×(1+g) ÷ (WACC−g)]</t>
  </si>
  <si>
    <t xml:space="preserve">  PV of Terminal Value ($M)  [= TV ÷ (1+WACC)^5]</t>
  </si>
  <si>
    <t>Enterprise Value → Equity Value Bridge</t>
  </si>
  <si>
    <t xml:space="preserve">  Sum of PV(FCFs) — Projection Period</t>
  </si>
  <si>
    <t xml:space="preserve">  (+) PV of Terminal Value</t>
  </si>
  <si>
    <t>Enterprise Value ($M)</t>
  </si>
  <si>
    <t xml:space="preserve">  (-) Net Debt ($M)</t>
  </si>
  <si>
    <t xml:space="preserve">  (-) Minority Interest ($M)</t>
  </si>
  <si>
    <t>Equity Value ($M)</t>
  </si>
  <si>
    <t xml:space="preserve">  ➤  Implied Share Price ($)</t>
  </si>
  <si>
    <t>Equity Value ($M) ÷ Shares (M) × 1000 conversion factor (shares in M, EV in $M)</t>
  </si>
  <si>
    <t xml:space="preserve">  Implied Premium / (Discount) to Market</t>
  </si>
  <si>
    <t>Value Composition</t>
  </si>
  <si>
    <t xml:space="preserve">  % of EV from Projection Period FCFs</t>
  </si>
  <si>
    <t xml:space="preserve">  % of EV from Terminal Value</t>
  </si>
  <si>
    <t>Exit Multiple Cross-Check (EV/EBITDA)</t>
  </si>
  <si>
    <t xml:space="preserve">  EV from DCF ($M)</t>
  </si>
  <si>
    <t xml:space="preserve">  FY2029E EBITDA ($M)</t>
  </si>
  <si>
    <t xml:space="preserve">  Implied Exit EV/EBITDA Multiple</t>
  </si>
  <si>
    <t xml:space="preserve">  Target Exit Multiple (from Assumptions)</t>
  </si>
  <si>
    <t xml:space="preserve">  Cross-Check Implied Share Price ($)</t>
  </si>
  <si>
    <t>SENSITIVITY ANALYSIS — Implied Share Price  |  WACC vs. Terminal Growth Rate</t>
  </si>
  <si>
    <t>Each cell shows the implied share price at the intersection of a given WACC (rows) and terminal growth rate (columns). Base case highlighted in yellow. All other assumptions held constant.</t>
  </si>
  <si>
    <t>Implied Share Price ($)</t>
  </si>
  <si>
    <t>WACC  ↓    TGR  →</t>
  </si>
  <si>
    <t>Base Case</t>
  </si>
  <si>
    <t>↑</t>
  </si>
  <si>
    <t>Yellow = Base Case (WACC ≈ 7.2%, TGR = 2.5%)</t>
  </si>
  <si>
    <t>Reference — Current Model Key Outputs</t>
  </si>
  <si>
    <t xml:space="preserve">  Base Case WACC</t>
  </si>
  <si>
    <t xml:space="preserve">  Base Case TGR</t>
  </si>
  <si>
    <t xml:space="preserve">  Sum of PV(FCFs) ($M)</t>
  </si>
  <si>
    <t xml:space="preserve">  PV of Terminal Value ($M)</t>
  </si>
  <si>
    <t xml:space="preserve">  Enterprise Value ($M)</t>
  </si>
  <si>
    <t xml:space="preserve">  Implied Share Price ($)</t>
  </si>
  <si>
    <t xml:space="preserve">  Implied Upside / (Down.)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</si>
</sst>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;&quot;($&quot;#,##0.00\);\-"/>
    <numFmt numFmtId="165" formatCode="0.0%;\(0.0%\);\-"/>
    <numFmt numFmtId="166" formatCode="0.00%;\(0.00%\);\-"/>
    <numFmt numFmtId="167" formatCode="\$#,##0;&quot;($&quot;#,##0\);\-"/>
    <numFmt numFmtId="168" formatCode="0.0\x"/>
    <numFmt numFmtId="169" formatCode="#,##0;\(#,##0\);\-"/>
    <numFmt numFmtId="170" formatCode="0.0000"/>
  </numFmts>
  <fonts count="19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i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i/>
      <sz val="8"/>
      <color rgb="FF808080"/>
      <name val="Arial"/>
      <family val="2"/>
    </font>
    <font>
      <b/>
      <sz val="9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  <font>
      <i/>
      <sz val="9"/>
      <color rgb="FF404040"/>
      <name val="Arial"/>
      <family val="2"/>
    </font>
    <font>
      <b/>
      <i/>
      <sz val="10"/>
      <color rgb="FFFFFFFF"/>
      <name val="Arial"/>
      <family val="2"/>
    </font>
    <font>
      <sz val="10"/>
      <color rgb="FF808080"/>
      <name val="Arial"/>
      <family val="2"/>
    </font>
    <font>
      <i/>
      <sz val="9"/>
      <color rgb="FF80808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5" fillId="0" borderId="0" xfId="0" applyFont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0" fillId="4" borderId="0" xfId="0" applyFill="1"/>
    <xf numFmtId="164" fontId="4" fillId="4" borderId="0" xfId="0" applyNumberFormat="1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166" fontId="4" fillId="4" borderId="0" xfId="0" applyNumberFormat="1" applyFont="1" applyFill="1" applyAlignment="1">
      <alignment horizontal="right" vertical="center"/>
    </xf>
    <xf numFmtId="0" fontId="8" fillId="4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7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2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6" fontId="4" fillId="6" borderId="0" xfId="0" applyNumberFormat="1" applyFont="1" applyFill="1" applyAlignment="1">
      <alignment horizontal="right" vertical="center"/>
    </xf>
    <xf numFmtId="166" fontId="9" fillId="6" borderId="0" xfId="0" applyNumberFormat="1" applyFont="1" applyFill="1" applyAlignment="1">
      <alignment horizontal="right" vertical="center"/>
    </xf>
    <xf numFmtId="165" fontId="9" fillId="6" borderId="0" xfId="0" applyNumberFormat="1" applyFont="1" applyFill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166" fontId="4" fillId="7" borderId="0" xfId="0" applyNumberFormat="1" applyFont="1" applyFill="1" applyAlignment="1">
      <alignment horizontal="right" vertical="center"/>
    </xf>
    <xf numFmtId="0" fontId="0" fillId="7" borderId="0" xfId="0" applyFill="1"/>
    <xf numFmtId="166" fontId="12" fillId="7" borderId="0" xfId="0" applyNumberFormat="1" applyFont="1" applyFill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167" fontId="4" fillId="6" borderId="0" xfId="0" applyNumberFormat="1" applyFont="1" applyFill="1" applyAlignment="1">
      <alignment horizontal="right" vertical="center"/>
    </xf>
    <xf numFmtId="169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167" fontId="13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indent="2"/>
    </xf>
    <xf numFmtId="167" fontId="4" fillId="6" borderId="1" xfId="0" applyNumberFormat="1" applyFont="1" applyFill="1" applyBorder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170" fontId="9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horizontal="right" vertical="center"/>
    </xf>
    <xf numFmtId="164" fontId="4" fillId="7" borderId="0" xfId="0" applyNumberFormat="1" applyFont="1" applyFill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0" fontId="16" fillId="3" borderId="0" xfId="0" applyFont="1" applyFill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6" fontId="4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9" fillId="7" borderId="0" xfId="0" applyNumberFormat="1" applyFont="1" applyFill="1" applyAlignment="1">
      <alignment horizontal="right" vertical="center"/>
    </xf>
    <xf numFmtId="0" fontId="1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showGridLines="0" tabSelected="1" zoomScaleNormal="100" workbookViewId="0">
      <selection activeCell="L9" sqref="L9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5" width="18" customWidth="1"/>
    <col min="6" max="6" width="4" customWidth="1"/>
  </cols>
  <sheetData>
    <row r="1" spans="1:6" ht="24" customHeight="1" x14ac:dyDescent="0.2">
      <c r="A1" s="9" t="s">
        <v>0</v>
      </c>
      <c r="B1" s="9"/>
      <c r="C1" s="9"/>
      <c r="D1" s="9"/>
      <c r="E1" s="9"/>
      <c r="F1" s="9"/>
    </row>
    <row r="2" spans="1:6" ht="24" customHeight="1" x14ac:dyDescent="0.2">
      <c r="A2" s="9"/>
      <c r="B2" s="9"/>
      <c r="C2" s="9"/>
      <c r="D2" s="9"/>
      <c r="E2" s="9"/>
      <c r="F2" s="9"/>
    </row>
    <row r="3" spans="1:6" ht="24" customHeight="1" x14ac:dyDescent="0.2">
      <c r="A3" s="9"/>
      <c r="B3" s="9"/>
      <c r="C3" s="9"/>
      <c r="D3" s="9"/>
      <c r="E3" s="9"/>
      <c r="F3" s="9"/>
    </row>
    <row r="4" spans="1:6" ht="24" customHeight="1" x14ac:dyDescent="0.2">
      <c r="A4" s="9"/>
      <c r="B4" s="9"/>
      <c r="C4" s="9"/>
      <c r="D4" s="9"/>
      <c r="E4" s="9"/>
      <c r="F4" s="9"/>
    </row>
    <row r="5" spans="1:6" ht="24" customHeight="1" x14ac:dyDescent="0.2">
      <c r="A5" s="9"/>
      <c r="B5" s="9"/>
      <c r="C5" s="9"/>
      <c r="D5" s="9"/>
      <c r="E5" s="9"/>
      <c r="F5" s="9"/>
    </row>
    <row r="6" spans="1:6" ht="18" customHeight="1" x14ac:dyDescent="0.2"/>
    <row r="7" spans="1:6" ht="21.75" customHeight="1" x14ac:dyDescent="0.2">
      <c r="A7" s="8" t="s">
        <v>1</v>
      </c>
      <c r="B7" s="8"/>
      <c r="C7" s="8"/>
      <c r="D7" s="8"/>
      <c r="E7" s="8"/>
      <c r="F7" s="8"/>
    </row>
    <row r="8" spans="1:6" ht="18" customHeight="1" x14ac:dyDescent="0.2"/>
    <row r="9" spans="1:6" ht="13.5" customHeight="1" x14ac:dyDescent="0.2"/>
    <row r="10" spans="1:6" ht="19.5" customHeight="1" x14ac:dyDescent="0.2">
      <c r="B10" s="7" t="s">
        <v>2</v>
      </c>
      <c r="C10" s="7"/>
      <c r="D10" s="7"/>
      <c r="E10" s="7"/>
    </row>
    <row r="11" spans="1:6" ht="18" customHeight="1" x14ac:dyDescent="0.2">
      <c r="B11" s="10" t="s">
        <v>3</v>
      </c>
      <c r="C11" s="11"/>
      <c r="D11" s="12">
        <f>Assumptions!B46</f>
        <v>0</v>
      </c>
      <c r="E11" s="11"/>
    </row>
    <row r="12" spans="1:6" ht="18" customHeight="1" x14ac:dyDescent="0.2"/>
    <row r="13" spans="1:6" ht="18" customHeight="1" x14ac:dyDescent="0.2">
      <c r="B13" s="10" t="s">
        <v>4</v>
      </c>
      <c r="C13" s="11"/>
      <c r="D13" s="13">
        <f>'DCF Valuation'!B28</f>
        <v>-4124.7253215744522</v>
      </c>
      <c r="E13" s="11"/>
    </row>
    <row r="14" spans="1:6" ht="18" customHeight="1" x14ac:dyDescent="0.2"/>
    <row r="15" spans="1:6" ht="18" customHeight="1" x14ac:dyDescent="0.2">
      <c r="B15" s="10" t="s">
        <v>5</v>
      </c>
      <c r="C15" s="11"/>
      <c r="D15" s="14">
        <f>'DCF Valuation'!B30</f>
        <v>-27.272135806206702</v>
      </c>
      <c r="E15" s="11"/>
    </row>
    <row r="16" spans="1:6" ht="18" customHeight="1" x14ac:dyDescent="0.2"/>
    <row r="17" spans="2:5" ht="18" customHeight="1" x14ac:dyDescent="0.2">
      <c r="B17" s="10" t="s">
        <v>6</v>
      </c>
      <c r="C17" s="11"/>
      <c r="D17" s="15">
        <f>Assumptions!B35</f>
        <v>28500</v>
      </c>
      <c r="E17" s="11"/>
    </row>
    <row r="18" spans="2:5" ht="18" customHeight="1" x14ac:dyDescent="0.2"/>
    <row r="19" spans="2:5" ht="18" customHeight="1" x14ac:dyDescent="0.2">
      <c r="B19" s="10" t="s">
        <v>7</v>
      </c>
      <c r="C19" s="11"/>
      <c r="D19" s="15">
        <f>Assumptions!B38</f>
        <v>1200</v>
      </c>
      <c r="E19" s="11"/>
    </row>
    <row r="20" spans="2:5" ht="18" customHeight="1" x14ac:dyDescent="0.2"/>
    <row r="21" spans="2:5" ht="18" customHeight="1" x14ac:dyDescent="0.2"/>
    <row r="22" spans="2:5" ht="18" customHeight="1" x14ac:dyDescent="0.2"/>
    <row r="23" spans="2:5" ht="18" customHeight="1" x14ac:dyDescent="0.2"/>
    <row r="24" spans="2:5" ht="18" customHeight="1" x14ac:dyDescent="0.2"/>
    <row r="25" spans="2:5" ht="18" customHeight="1" x14ac:dyDescent="0.2"/>
    <row r="26" spans="2:5" ht="18" customHeight="1" x14ac:dyDescent="0.2"/>
    <row r="27" spans="2:5" ht="18" customHeight="1" x14ac:dyDescent="0.2"/>
    <row r="28" spans="2:5" ht="18" customHeight="1" x14ac:dyDescent="0.2"/>
    <row r="29" spans="2:5" ht="18" customHeight="1" x14ac:dyDescent="0.2"/>
    <row r="30" spans="2:5" ht="18" customHeight="1" x14ac:dyDescent="0.2"/>
    <row r="31" spans="2:5" ht="18" customHeight="1" x14ac:dyDescent="0.2"/>
    <row r="32" spans="2:5" ht="25" customHeight="1" x14ac:dyDescent="0.2">
      <c r="B32" s="6"/>
      <c r="C32" s="6"/>
      <c r="D32" s="6"/>
      <c r="E32" s="6"/>
    </row>
    <row r="33" spans="2:5" ht="18" customHeight="1" x14ac:dyDescent="0.2"/>
    <row r="34" spans="2:5" ht="15.75" customHeight="1" x14ac:dyDescent="0.2">
      <c r="B34" s="5" t="s">
        <v>8</v>
      </c>
      <c r="C34" s="5"/>
      <c r="D34" s="5"/>
      <c r="E34" s="5"/>
    </row>
    <row r="35" spans="2:5" ht="13.5" customHeight="1" x14ac:dyDescent="0.2">
      <c r="B35" s="16" t="s">
        <v>9</v>
      </c>
      <c r="C35" s="17" t="s">
        <v>10</v>
      </c>
      <c r="D35" s="11"/>
      <c r="E35" s="11"/>
    </row>
    <row r="36" spans="2:5" ht="13.5" customHeight="1" x14ac:dyDescent="0.2">
      <c r="B36" s="10" t="s">
        <v>11</v>
      </c>
      <c r="C36" s="17" t="s">
        <v>12</v>
      </c>
      <c r="D36" s="11"/>
      <c r="E36" s="11"/>
    </row>
    <row r="37" spans="2:5" ht="13.5" customHeight="1" x14ac:dyDescent="0.2">
      <c r="B37" s="18" t="s">
        <v>13</v>
      </c>
      <c r="C37" s="17" t="s">
        <v>14</v>
      </c>
      <c r="D37" s="11"/>
      <c r="E37" s="11"/>
    </row>
    <row r="38" spans="2:5" ht="18" customHeight="1" x14ac:dyDescent="0.2"/>
    <row r="39" spans="2:5" ht="18" customHeight="1" x14ac:dyDescent="0.2"/>
  </sheetData>
  <mergeCells count="5">
    <mergeCell ref="A1:F5"/>
    <mergeCell ref="A7:F7"/>
    <mergeCell ref="B10:E10"/>
    <mergeCell ref="B32:E32"/>
    <mergeCell ref="B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showGridLines="0" zoomScaleNormal="100" workbookViewId="0">
      <selection activeCell="F5" sqref="F5"/>
    </sheetView>
  </sheetViews>
  <sheetFormatPr baseColWidth="10" defaultColWidth="8.6640625" defaultRowHeight="15" x14ac:dyDescent="0.2"/>
  <cols>
    <col min="1" max="1" width="32" customWidth="1"/>
    <col min="2" max="6" width="14" customWidth="1"/>
    <col min="7" max="7" width="28" customWidth="1"/>
  </cols>
  <sheetData>
    <row r="1" spans="1:7" ht="25.5" customHeight="1" x14ac:dyDescent="0.2">
      <c r="A1" s="4" t="s">
        <v>15</v>
      </c>
      <c r="B1" s="4"/>
      <c r="C1" s="4"/>
      <c r="D1" s="4"/>
      <c r="E1" s="4"/>
      <c r="F1" s="4"/>
    </row>
    <row r="2" spans="1:7" ht="7.5" customHeight="1" x14ac:dyDescent="0.2">
      <c r="A2" s="19"/>
      <c r="B2" s="19"/>
      <c r="C2" s="19"/>
      <c r="D2" s="19"/>
      <c r="E2" s="19"/>
      <c r="F2" s="19"/>
    </row>
    <row r="3" spans="1:7" ht="19.5" customHeight="1" x14ac:dyDescent="0.2">
      <c r="A3" s="20" t="s">
        <v>16</v>
      </c>
      <c r="B3" s="21" t="s">
        <v>17</v>
      </c>
      <c r="C3" s="21" t="s">
        <v>18</v>
      </c>
      <c r="D3" s="21" t="s">
        <v>19</v>
      </c>
      <c r="E3" s="21" t="s">
        <v>20</v>
      </c>
      <c r="F3" s="21" t="s">
        <v>21</v>
      </c>
    </row>
    <row r="4" spans="1:7" x14ac:dyDescent="0.2">
      <c r="A4" s="3" t="s">
        <v>22</v>
      </c>
      <c r="B4" s="3"/>
      <c r="C4" s="3"/>
      <c r="D4" s="3"/>
      <c r="E4" s="3"/>
      <c r="F4" s="3"/>
    </row>
    <row r="5" spans="1:7" ht="18" customHeight="1" x14ac:dyDescent="0.2">
      <c r="A5" s="22" t="s">
        <v>23</v>
      </c>
      <c r="B5" s="23">
        <v>5.5E-2</v>
      </c>
      <c r="C5" s="23">
        <v>0.05</v>
      </c>
      <c r="D5" s="23">
        <v>4.4999999999999998E-2</v>
      </c>
      <c r="E5" s="23">
        <v>4.4999999999999998E-2</v>
      </c>
      <c r="F5" s="23">
        <v>0.04</v>
      </c>
      <c r="G5" s="24" t="s">
        <v>24</v>
      </c>
    </row>
    <row r="7" spans="1:7" x14ac:dyDescent="0.2">
      <c r="A7" s="3" t="s">
        <v>25</v>
      </c>
      <c r="B7" s="3"/>
      <c r="C7" s="3"/>
      <c r="D7" s="3"/>
      <c r="E7" s="3"/>
      <c r="F7" s="3"/>
    </row>
    <row r="8" spans="1:7" ht="18" customHeight="1" x14ac:dyDescent="0.2">
      <c r="A8" s="22" t="s">
        <v>26</v>
      </c>
      <c r="B8" s="23">
        <v>0.68400000000000005</v>
      </c>
      <c r="C8" s="23">
        <v>0.68600000000000005</v>
      </c>
      <c r="D8" s="23">
        <v>0.68799999999999994</v>
      </c>
      <c r="E8" s="23">
        <v>0.69</v>
      </c>
      <c r="F8" s="23">
        <v>0.69199999999999995</v>
      </c>
    </row>
    <row r="9" spans="1:7" ht="18" customHeight="1" x14ac:dyDescent="0.2">
      <c r="A9" s="22" t="s">
        <v>27</v>
      </c>
      <c r="B9" s="23">
        <v>0.17</v>
      </c>
      <c r="C9" s="23">
        <v>0.17</v>
      </c>
      <c r="D9" s="23">
        <v>0.16800000000000001</v>
      </c>
      <c r="E9" s="23">
        <v>0.16800000000000001</v>
      </c>
      <c r="F9" s="23">
        <v>0.16500000000000001</v>
      </c>
    </row>
    <row r="10" spans="1:7" ht="18" customHeight="1" x14ac:dyDescent="0.2">
      <c r="A10" s="22" t="s">
        <v>28</v>
      </c>
      <c r="B10" s="23">
        <v>0.23</v>
      </c>
      <c r="C10" s="23">
        <v>0.22800000000000001</v>
      </c>
      <c r="D10" s="23">
        <v>0.22500000000000001</v>
      </c>
      <c r="E10" s="23">
        <v>0.223</v>
      </c>
      <c r="F10" s="23">
        <v>0.22</v>
      </c>
    </row>
    <row r="11" spans="1:7" ht="18" customHeight="1" x14ac:dyDescent="0.2">
      <c r="A11" s="22" t="s">
        <v>29</v>
      </c>
      <c r="B11" s="23">
        <v>0.09</v>
      </c>
      <c r="C11" s="23">
        <v>0.09</v>
      </c>
      <c r="D11" s="23">
        <v>8.7999999999999995E-2</v>
      </c>
      <c r="E11" s="23">
        <v>8.7999999999999995E-2</v>
      </c>
      <c r="F11" s="23">
        <v>8.5000000000000006E-2</v>
      </c>
    </row>
    <row r="12" spans="1:7" ht="18" customHeight="1" x14ac:dyDescent="0.2">
      <c r="A12" s="22" t="s">
        <v>30</v>
      </c>
      <c r="B12" s="23">
        <v>0.05</v>
      </c>
      <c r="C12" s="23">
        <v>0.05</v>
      </c>
      <c r="D12" s="23">
        <v>4.8000000000000001E-2</v>
      </c>
      <c r="E12" s="23">
        <v>4.8000000000000001E-2</v>
      </c>
      <c r="F12" s="23">
        <v>4.4999999999999998E-2</v>
      </c>
    </row>
    <row r="13" spans="1:7" ht="18" customHeight="1" x14ac:dyDescent="0.2">
      <c r="A13" s="22" t="s">
        <v>31</v>
      </c>
      <c r="B13" s="23">
        <v>0.01</v>
      </c>
      <c r="C13" s="23">
        <v>0.01</v>
      </c>
      <c r="D13" s="23">
        <v>0.01</v>
      </c>
      <c r="E13" s="23">
        <v>0.01</v>
      </c>
      <c r="F13" s="23">
        <v>0.01</v>
      </c>
    </row>
    <row r="15" spans="1:7" x14ac:dyDescent="0.2">
      <c r="A15" s="3" t="s">
        <v>32</v>
      </c>
      <c r="B15" s="3"/>
      <c r="C15" s="3"/>
      <c r="D15" s="3"/>
      <c r="E15" s="3"/>
      <c r="F15" s="3"/>
    </row>
    <row r="16" spans="1:7" ht="18" customHeight="1" x14ac:dyDescent="0.2">
      <c r="A16" s="22" t="s">
        <v>33</v>
      </c>
      <c r="B16" s="25">
        <v>400</v>
      </c>
      <c r="C16" s="25">
        <v>300</v>
      </c>
      <c r="D16" s="25">
        <v>200</v>
      </c>
      <c r="E16" s="25">
        <v>100</v>
      </c>
      <c r="F16" s="25">
        <v>0</v>
      </c>
    </row>
    <row r="17" spans="1:7" ht="18" customHeight="1" x14ac:dyDescent="0.2">
      <c r="A17" s="22" t="s">
        <v>34</v>
      </c>
      <c r="B17" s="23">
        <v>0.17</v>
      </c>
      <c r="C17" s="26">
        <f>$B$17</f>
        <v>0.17</v>
      </c>
      <c r="D17" s="26">
        <f>$B$17</f>
        <v>0.17</v>
      </c>
      <c r="E17" s="26">
        <f>$B$17</f>
        <v>0.17</v>
      </c>
      <c r="F17" s="26">
        <f>$B$17</f>
        <v>0.17</v>
      </c>
      <c r="G17" s="24" t="s">
        <v>35</v>
      </c>
    </row>
    <row r="19" spans="1:7" x14ac:dyDescent="0.2">
      <c r="A19" s="3" t="s">
        <v>36</v>
      </c>
      <c r="B19" s="3"/>
      <c r="C19" s="3"/>
      <c r="D19" s="3"/>
      <c r="E19" s="3"/>
      <c r="F19" s="3"/>
    </row>
    <row r="20" spans="1:7" ht="18" customHeight="1" x14ac:dyDescent="0.2">
      <c r="A20" s="22" t="s">
        <v>37</v>
      </c>
      <c r="B20" s="27">
        <v>4.4999999999999998E-2</v>
      </c>
      <c r="G20" s="24" t="s">
        <v>38</v>
      </c>
    </row>
    <row r="21" spans="1:7" ht="18" customHeight="1" x14ac:dyDescent="0.2">
      <c r="A21" s="22" t="s">
        <v>39</v>
      </c>
      <c r="B21" s="27">
        <v>5.5E-2</v>
      </c>
      <c r="G21" s="24" t="s">
        <v>40</v>
      </c>
    </row>
    <row r="22" spans="1:7" ht="18" customHeight="1" x14ac:dyDescent="0.2">
      <c r="A22" s="22" t="s">
        <v>41</v>
      </c>
      <c r="B22" s="28">
        <v>0.55000000000000004</v>
      </c>
      <c r="G22" s="24" t="s">
        <v>42</v>
      </c>
    </row>
    <row r="23" spans="1:7" ht="18" customHeight="1" x14ac:dyDescent="0.2">
      <c r="A23" s="29" t="s">
        <v>43</v>
      </c>
      <c r="B23" s="30">
        <f>B20+B22*B21</f>
        <v>7.5249999999999997E-2</v>
      </c>
    </row>
    <row r="24" spans="1:7" ht="18" customHeight="1" x14ac:dyDescent="0.2">
      <c r="A24" s="22" t="s">
        <v>44</v>
      </c>
      <c r="B24" s="27">
        <v>3.5000000000000003E-2</v>
      </c>
      <c r="G24" s="24" t="s">
        <v>45</v>
      </c>
    </row>
    <row r="25" spans="1:7" ht="18" customHeight="1" x14ac:dyDescent="0.2">
      <c r="A25" s="22" t="s">
        <v>46</v>
      </c>
      <c r="B25" s="31">
        <f>B24*(1-B17)</f>
        <v>2.9050000000000003E-2</v>
      </c>
    </row>
    <row r="26" spans="1:7" ht="18" customHeight="1" x14ac:dyDescent="0.2">
      <c r="A26" s="22" t="s">
        <v>47</v>
      </c>
      <c r="B26" s="23">
        <v>0.92</v>
      </c>
    </row>
    <row r="27" spans="1:7" ht="18" customHeight="1" x14ac:dyDescent="0.2">
      <c r="A27" s="22" t="s">
        <v>48</v>
      </c>
      <c r="B27" s="32">
        <f>1-B26</f>
        <v>7.999999999999996E-2</v>
      </c>
    </row>
    <row r="28" spans="1:7" ht="19.5" customHeight="1" x14ac:dyDescent="0.2">
      <c r="A28" s="33" t="s">
        <v>49</v>
      </c>
      <c r="B28" s="34">
        <f>B23*B26+B25*B27</f>
        <v>7.1553999999999993E-2</v>
      </c>
      <c r="C28" s="35"/>
      <c r="D28" s="35"/>
      <c r="E28" s="35"/>
      <c r="F28" s="35"/>
    </row>
    <row r="30" spans="1:7" x14ac:dyDescent="0.2">
      <c r="A30" s="3" t="s">
        <v>50</v>
      </c>
      <c r="B30" s="3"/>
      <c r="C30" s="3"/>
      <c r="D30" s="3"/>
      <c r="E30" s="3"/>
      <c r="F30" s="3"/>
    </row>
    <row r="31" spans="1:7" ht="19.5" customHeight="1" x14ac:dyDescent="0.2">
      <c r="A31" s="33" t="s">
        <v>51</v>
      </c>
      <c r="B31" s="36">
        <v>2.5000000000000001E-2</v>
      </c>
      <c r="C31" s="35"/>
      <c r="D31" s="35"/>
      <c r="E31" s="35"/>
      <c r="F31" s="35"/>
    </row>
    <row r="32" spans="1:7" ht="18" customHeight="1" x14ac:dyDescent="0.2">
      <c r="A32" s="22" t="s">
        <v>52</v>
      </c>
      <c r="B32" s="37">
        <v>14</v>
      </c>
    </row>
    <row r="34" spans="1:7" x14ac:dyDescent="0.2">
      <c r="A34" s="3" t="s">
        <v>53</v>
      </c>
      <c r="B34" s="3"/>
      <c r="C34" s="3"/>
      <c r="D34" s="3"/>
      <c r="E34" s="3"/>
      <c r="F34" s="3"/>
    </row>
    <row r="35" spans="1:7" ht="18" customHeight="1" x14ac:dyDescent="0.2">
      <c r="A35" s="22" t="s">
        <v>54</v>
      </c>
      <c r="B35" s="25">
        <v>28500</v>
      </c>
      <c r="G35" s="24" t="s">
        <v>55</v>
      </c>
    </row>
    <row r="36" spans="1:7" ht="18" customHeight="1" x14ac:dyDescent="0.2">
      <c r="A36" s="22" t="s">
        <v>56</v>
      </c>
      <c r="B36" s="25">
        <v>19800</v>
      </c>
      <c r="G36" s="24" t="s">
        <v>55</v>
      </c>
    </row>
    <row r="37" spans="1:7" ht="18" customHeight="1" x14ac:dyDescent="0.2">
      <c r="A37" s="29" t="s">
        <v>57</v>
      </c>
      <c r="B37" s="38">
        <f>B35-B36</f>
        <v>8700</v>
      </c>
    </row>
    <row r="38" spans="1:7" ht="18" customHeight="1" x14ac:dyDescent="0.2">
      <c r="A38" s="22" t="s">
        <v>58</v>
      </c>
      <c r="B38" s="25">
        <v>1200</v>
      </c>
      <c r="G38" s="24" t="s">
        <v>59</v>
      </c>
    </row>
    <row r="39" spans="1:7" ht="18" customHeight="1" x14ac:dyDescent="0.2">
      <c r="A39" s="22" t="s">
        <v>60</v>
      </c>
      <c r="B39" s="39">
        <v>2400</v>
      </c>
      <c r="G39" s="24" t="s">
        <v>61</v>
      </c>
    </row>
    <row r="40" spans="1:7" ht="18" customHeight="1" x14ac:dyDescent="0.2">
      <c r="A40" s="22" t="s">
        <v>62</v>
      </c>
      <c r="B40" s="40">
        <v>157</v>
      </c>
      <c r="G40" s="24" t="s">
        <v>63</v>
      </c>
    </row>
  </sheetData>
  <mergeCells count="7">
    <mergeCell ref="A30:F30"/>
    <mergeCell ref="A34:F34"/>
    <mergeCell ref="A1:F1"/>
    <mergeCell ref="A4:F4"/>
    <mergeCell ref="A7:F7"/>
    <mergeCell ref="A15:F15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showGridLines="0" zoomScaleNormal="100" workbookViewId="0">
      <selection activeCell="B38" sqref="B38"/>
    </sheetView>
  </sheetViews>
  <sheetFormatPr baseColWidth="10" defaultColWidth="8.6640625" defaultRowHeight="15" x14ac:dyDescent="0.2"/>
  <cols>
    <col min="1" max="1" width="36" customWidth="1"/>
    <col min="2" max="9" width="15" customWidth="1"/>
    <col min="10" max="10" width="26" customWidth="1"/>
  </cols>
  <sheetData>
    <row r="1" spans="1:10" ht="25.5" customHeight="1" x14ac:dyDescent="0.2">
      <c r="A1" s="2" t="s">
        <v>64</v>
      </c>
      <c r="B1" s="2"/>
      <c r="C1" s="2"/>
      <c r="D1" s="2"/>
      <c r="E1" s="2"/>
      <c r="F1" s="2"/>
      <c r="G1" s="2"/>
      <c r="H1" s="2"/>
      <c r="I1" s="2"/>
    </row>
    <row r="2" spans="1:10" x14ac:dyDescent="0.2">
      <c r="A2" s="19"/>
      <c r="B2" s="19"/>
      <c r="C2" s="19"/>
      <c r="D2" s="19"/>
      <c r="E2" s="19"/>
      <c r="F2" s="19"/>
      <c r="G2" s="19"/>
      <c r="H2" s="19"/>
      <c r="I2" s="19"/>
    </row>
    <row r="3" spans="1:10" ht="19.5" customHeight="1" x14ac:dyDescent="0.2">
      <c r="A3" s="41" t="s">
        <v>65</v>
      </c>
      <c r="B3" s="21" t="s">
        <v>66</v>
      </c>
      <c r="C3" s="21" t="s">
        <v>67</v>
      </c>
      <c r="D3" s="21" t="s">
        <v>68</v>
      </c>
      <c r="E3" s="21" t="s">
        <v>17</v>
      </c>
      <c r="F3" s="21" t="s">
        <v>18</v>
      </c>
      <c r="G3" s="21" t="s">
        <v>19</v>
      </c>
      <c r="H3" s="21" t="s">
        <v>20</v>
      </c>
      <c r="I3" s="21" t="s">
        <v>21</v>
      </c>
      <c r="J3" s="20" t="s">
        <v>69</v>
      </c>
    </row>
    <row r="4" spans="1:10" x14ac:dyDescent="0.2">
      <c r="A4" s="3" t="s">
        <v>70</v>
      </c>
      <c r="B4" s="3"/>
      <c r="C4" s="3"/>
      <c r="D4" s="3"/>
      <c r="E4" s="3"/>
      <c r="F4" s="3"/>
      <c r="G4" s="3"/>
      <c r="H4" s="3"/>
      <c r="I4" s="3"/>
    </row>
    <row r="5" spans="1:10" ht="19.5" customHeight="1" x14ac:dyDescent="0.2">
      <c r="A5" s="29" t="s">
        <v>71</v>
      </c>
      <c r="B5" s="25">
        <v>93775</v>
      </c>
      <c r="C5" s="25">
        <v>85159</v>
      </c>
      <c r="D5" s="25">
        <v>88821</v>
      </c>
      <c r="E5" s="42">
        <f>D5*(1+Assumptions!B5)</f>
        <v>93706.154999999999</v>
      </c>
      <c r="F5" s="42">
        <f>E5*(1+Assumptions!C5)</f>
        <v>98391.462750000006</v>
      </c>
      <c r="G5" s="42">
        <f>F5*(1+Assumptions!D5)</f>
        <v>102819.07857375</v>
      </c>
      <c r="H5" s="42">
        <f>G5*(1+Assumptions!E5)</f>
        <v>107445.93710956874</v>
      </c>
      <c r="I5" s="42">
        <f>H5*(1+Assumptions!F5)</f>
        <v>111743.77459395149</v>
      </c>
      <c r="J5" s="24" t="s">
        <v>72</v>
      </c>
    </row>
    <row r="6" spans="1:10" ht="18" customHeight="1" x14ac:dyDescent="0.2">
      <c r="A6" s="43" t="s">
        <v>73</v>
      </c>
      <c r="B6" s="25">
        <v>30107</v>
      </c>
      <c r="C6" s="25">
        <v>27084</v>
      </c>
      <c r="D6" s="25">
        <v>28090</v>
      </c>
      <c r="E6" s="42">
        <f>E5*(1-Assumptions!B8)</f>
        <v>29611.144979999994</v>
      </c>
      <c r="F6" s="42">
        <f>F5*(1-Assumptions!C8)</f>
        <v>30894.919303499995</v>
      </c>
      <c r="G6" s="42">
        <f>G5*(1-Assumptions!D8)</f>
        <v>32079.552515010004</v>
      </c>
      <c r="H6" s="42">
        <f>H5*(1-Assumptions!E8)</f>
        <v>33308.240503966314</v>
      </c>
      <c r="I6" s="42">
        <f>I5*(1-Assumptions!F8)</f>
        <v>34417.082574937063</v>
      </c>
      <c r="J6" s="24" t="s">
        <v>74</v>
      </c>
    </row>
    <row r="7" spans="1:10" ht="19.5" customHeight="1" x14ac:dyDescent="0.2">
      <c r="A7" s="29" t="s">
        <v>75</v>
      </c>
      <c r="B7" s="44">
        <f t="shared" ref="B7:I7" si="0">B5-B6</f>
        <v>63668</v>
      </c>
      <c r="C7" s="44">
        <f t="shared" si="0"/>
        <v>58075</v>
      </c>
      <c r="D7" s="44">
        <f t="shared" si="0"/>
        <v>60731</v>
      </c>
      <c r="E7" s="44">
        <f t="shared" si="0"/>
        <v>64095.010020000002</v>
      </c>
      <c r="F7" s="44">
        <f t="shared" si="0"/>
        <v>67496.543446500014</v>
      </c>
      <c r="G7" s="44">
        <f t="shared" si="0"/>
        <v>70739.526058739997</v>
      </c>
      <c r="H7" s="44">
        <f t="shared" si="0"/>
        <v>74137.696605602425</v>
      </c>
      <c r="I7" s="44">
        <f t="shared" si="0"/>
        <v>77326.692019014416</v>
      </c>
    </row>
    <row r="8" spans="1:10" ht="15.75" customHeight="1" x14ac:dyDescent="0.2">
      <c r="A8" s="43" t="s">
        <v>76</v>
      </c>
      <c r="B8" s="45">
        <f t="shared" ref="B8:I8" si="1">IF(B5=0,"-",B7/B5)</f>
        <v>0.6789442815249267</v>
      </c>
      <c r="C8" s="45">
        <f t="shared" si="1"/>
        <v>0.68195962845970481</v>
      </c>
      <c r="D8" s="45">
        <f t="shared" si="1"/>
        <v>0.68374596097769669</v>
      </c>
      <c r="E8" s="45">
        <f t="shared" si="1"/>
        <v>0.68400000000000005</v>
      </c>
      <c r="F8" s="45">
        <f t="shared" si="1"/>
        <v>0.68600000000000005</v>
      </c>
      <c r="G8" s="45">
        <f t="shared" si="1"/>
        <v>0.68799999999999994</v>
      </c>
      <c r="H8" s="45">
        <f t="shared" si="1"/>
        <v>0.69</v>
      </c>
      <c r="I8" s="45">
        <f t="shared" si="1"/>
        <v>0.69199999999999984</v>
      </c>
    </row>
    <row r="9" spans="1:10" ht="7.5" customHeight="1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10" ht="18" customHeight="1" x14ac:dyDescent="0.2">
      <c r="A10" s="43" t="s">
        <v>77</v>
      </c>
      <c r="B10" s="25">
        <v>14603</v>
      </c>
      <c r="C10" s="25">
        <v>14650</v>
      </c>
      <c r="D10" s="25">
        <v>15124</v>
      </c>
      <c r="E10" s="42">
        <f>E5*Assumptions!B9</f>
        <v>15930.046350000001</v>
      </c>
      <c r="F10" s="42">
        <f>F5*Assumptions!C9</f>
        <v>16726.548667500003</v>
      </c>
      <c r="G10" s="42">
        <f>G5*Assumptions!D9</f>
        <v>17273.60520039</v>
      </c>
      <c r="H10" s="42">
        <f>H5*Assumptions!E9</f>
        <v>18050.917434407551</v>
      </c>
      <c r="I10" s="42">
        <f>I5*Assumptions!F9</f>
        <v>18437.722808001996</v>
      </c>
      <c r="J10" s="24" t="s">
        <v>74</v>
      </c>
    </row>
    <row r="11" spans="1:10" ht="18" customHeight="1" x14ac:dyDescent="0.2">
      <c r="A11" s="43" t="s">
        <v>78</v>
      </c>
      <c r="B11" s="25">
        <v>22084</v>
      </c>
      <c r="C11" s="25">
        <v>20132</v>
      </c>
      <c r="D11" s="25">
        <v>21000</v>
      </c>
      <c r="E11" s="42">
        <f>E5*Assumptions!B10</f>
        <v>21552.415649999999</v>
      </c>
      <c r="F11" s="42">
        <f>F5*Assumptions!C10</f>
        <v>22433.253507000001</v>
      </c>
      <c r="G11" s="42">
        <f>G5*Assumptions!D10</f>
        <v>23134.292679093749</v>
      </c>
      <c r="H11" s="42">
        <f>H5*Assumptions!E10</f>
        <v>23960.443975433827</v>
      </c>
      <c r="I11" s="42">
        <f>I5*Assumptions!F10</f>
        <v>24583.630410669328</v>
      </c>
      <c r="J11" s="24" t="s">
        <v>74</v>
      </c>
    </row>
    <row r="12" spans="1:10" ht="19.5" customHeight="1" x14ac:dyDescent="0.2">
      <c r="A12" s="29" t="s">
        <v>79</v>
      </c>
      <c r="B12" s="44">
        <f t="shared" ref="B12:I12" si="2">B7-B10-B11</f>
        <v>26981</v>
      </c>
      <c r="C12" s="44">
        <f t="shared" si="2"/>
        <v>23293</v>
      </c>
      <c r="D12" s="44">
        <f t="shared" si="2"/>
        <v>24607</v>
      </c>
      <c r="E12" s="44">
        <f t="shared" si="2"/>
        <v>26612.548019999998</v>
      </c>
      <c r="F12" s="44">
        <f t="shared" si="2"/>
        <v>28336.741272000014</v>
      </c>
      <c r="G12" s="44">
        <f t="shared" si="2"/>
        <v>30331.628179256251</v>
      </c>
      <c r="H12" s="44">
        <f t="shared" si="2"/>
        <v>32126.335195761047</v>
      </c>
      <c r="I12" s="44">
        <f t="shared" si="2"/>
        <v>34305.338800343088</v>
      </c>
    </row>
    <row r="13" spans="1:10" ht="15.75" customHeight="1" x14ac:dyDescent="0.2">
      <c r="A13" s="43" t="s">
        <v>80</v>
      </c>
      <c r="B13" s="45">
        <f t="shared" ref="B13:I13" si="3">IF(B5=0,"-",B12/B5)</f>
        <v>0.28772060783790987</v>
      </c>
      <c r="C13" s="45">
        <f t="shared" si="3"/>
        <v>0.27352364400709261</v>
      </c>
      <c r="D13" s="45">
        <f t="shared" si="3"/>
        <v>0.27704033955933843</v>
      </c>
      <c r="E13" s="45">
        <f t="shared" si="3"/>
        <v>0.28399999999999997</v>
      </c>
      <c r="F13" s="45">
        <f t="shared" si="3"/>
        <v>0.28800000000000014</v>
      </c>
      <c r="G13" s="45">
        <f t="shared" si="3"/>
        <v>0.29500000000000004</v>
      </c>
      <c r="H13" s="45">
        <f t="shared" si="3"/>
        <v>0.29899999999999993</v>
      </c>
      <c r="I13" s="45">
        <f t="shared" si="3"/>
        <v>0.30699999999999983</v>
      </c>
    </row>
    <row r="14" spans="1:10" ht="7.5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10" ht="18" customHeight="1" x14ac:dyDescent="0.2">
      <c r="A15" s="43" t="s">
        <v>81</v>
      </c>
      <c r="B15" s="25">
        <v>8200</v>
      </c>
      <c r="C15" s="25">
        <v>7800</v>
      </c>
      <c r="D15" s="25">
        <v>8100</v>
      </c>
      <c r="E15" s="42">
        <f>E5*Assumptions!B11</f>
        <v>8433.5539499999995</v>
      </c>
      <c r="F15" s="42">
        <f>F5*Assumptions!C11</f>
        <v>8855.2316475000007</v>
      </c>
      <c r="G15" s="42">
        <f>G5*Assumptions!D11</f>
        <v>9048.0789144899991</v>
      </c>
      <c r="H15" s="42">
        <f>H5*Assumptions!E11</f>
        <v>9455.242465642048</v>
      </c>
      <c r="I15" s="42">
        <f>I5*Assumptions!F11</f>
        <v>9498.2208404858775</v>
      </c>
      <c r="J15" s="24" t="s">
        <v>82</v>
      </c>
    </row>
    <row r="16" spans="1:10" ht="19.5" customHeight="1" x14ac:dyDescent="0.2">
      <c r="A16" s="29" t="s">
        <v>83</v>
      </c>
      <c r="B16" s="44">
        <f t="shared" ref="B16:I16" si="4">B12-B15</f>
        <v>18781</v>
      </c>
      <c r="C16" s="44">
        <f t="shared" si="4"/>
        <v>15493</v>
      </c>
      <c r="D16" s="44">
        <f t="shared" si="4"/>
        <v>16507</v>
      </c>
      <c r="E16" s="44">
        <f t="shared" si="4"/>
        <v>18178.994070000001</v>
      </c>
      <c r="F16" s="44">
        <f t="shared" si="4"/>
        <v>19481.509624500013</v>
      </c>
      <c r="G16" s="44">
        <f t="shared" si="4"/>
        <v>21283.549264766254</v>
      </c>
      <c r="H16" s="44">
        <f t="shared" si="4"/>
        <v>22671.092730118999</v>
      </c>
      <c r="I16" s="44">
        <f t="shared" si="4"/>
        <v>24807.117959857213</v>
      </c>
    </row>
    <row r="17" spans="1:10" ht="15.75" customHeight="1" x14ac:dyDescent="0.2">
      <c r="A17" s="43" t="s">
        <v>84</v>
      </c>
      <c r="B17" s="45">
        <f t="shared" ref="B17:I17" si="5">IF(B5=0,"-",B16/B5)</f>
        <v>0.200277259397494</v>
      </c>
      <c r="C17" s="45">
        <f t="shared" si="5"/>
        <v>0.18193027160957737</v>
      </c>
      <c r="D17" s="45">
        <f t="shared" si="5"/>
        <v>0.18584568964546672</v>
      </c>
      <c r="E17" s="45">
        <f t="shared" si="5"/>
        <v>0.19400000000000001</v>
      </c>
      <c r="F17" s="45">
        <f t="shared" si="5"/>
        <v>0.19800000000000012</v>
      </c>
      <c r="G17" s="45">
        <f t="shared" si="5"/>
        <v>0.20700000000000005</v>
      </c>
      <c r="H17" s="45">
        <f t="shared" si="5"/>
        <v>0.21099999999999997</v>
      </c>
      <c r="I17" s="45">
        <f t="shared" si="5"/>
        <v>0.22199999999999984</v>
      </c>
    </row>
    <row r="18" spans="1:10" ht="7.5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10" ht="18" customHeight="1" x14ac:dyDescent="0.2">
      <c r="A19" s="43" t="s">
        <v>85</v>
      </c>
      <c r="B19" s="25">
        <v>800</v>
      </c>
      <c r="C19" s="25">
        <v>900</v>
      </c>
      <c r="D19" s="25">
        <v>1100</v>
      </c>
      <c r="E19" s="42">
        <f>Assumptions!B16</f>
        <v>400</v>
      </c>
      <c r="F19" s="42">
        <f>Assumptions!C16</f>
        <v>300</v>
      </c>
      <c r="G19" s="42">
        <f>Assumptions!D16</f>
        <v>200</v>
      </c>
      <c r="H19" s="42">
        <f>Assumptions!E16</f>
        <v>100</v>
      </c>
      <c r="I19" s="42">
        <f>Assumptions!F16</f>
        <v>0</v>
      </c>
      <c r="J19" s="24" t="s">
        <v>86</v>
      </c>
    </row>
    <row r="20" spans="1:10" ht="18" customHeight="1" x14ac:dyDescent="0.2">
      <c r="A20" s="29" t="s">
        <v>87</v>
      </c>
      <c r="B20" s="46">
        <f t="shared" ref="B20:I20" si="6">B16-B19</f>
        <v>17981</v>
      </c>
      <c r="C20" s="46">
        <f t="shared" si="6"/>
        <v>14593</v>
      </c>
      <c r="D20" s="46">
        <f t="shared" si="6"/>
        <v>15407</v>
      </c>
      <c r="E20" s="46">
        <f t="shared" si="6"/>
        <v>17778.994070000001</v>
      </c>
      <c r="F20" s="46">
        <f t="shared" si="6"/>
        <v>19181.509624500013</v>
      </c>
      <c r="G20" s="46">
        <f t="shared" si="6"/>
        <v>21083.549264766254</v>
      </c>
      <c r="H20" s="46">
        <f t="shared" si="6"/>
        <v>22571.092730118999</v>
      </c>
      <c r="I20" s="46">
        <f t="shared" si="6"/>
        <v>24807.117959857213</v>
      </c>
    </row>
    <row r="21" spans="1:10" ht="18" customHeight="1" x14ac:dyDescent="0.2">
      <c r="A21" s="43" t="s">
        <v>88</v>
      </c>
      <c r="B21" s="25">
        <v>4960</v>
      </c>
      <c r="C21" s="25">
        <v>4549</v>
      </c>
      <c r="D21" s="25">
        <v>5094</v>
      </c>
      <c r="E21" s="42">
        <f>E20*Assumptions!$B$17</f>
        <v>3022.4289919000003</v>
      </c>
      <c r="F21" s="42">
        <f>F20*Assumptions!$B$17</f>
        <v>3260.8566361650023</v>
      </c>
      <c r="G21" s="42">
        <f>G20*Assumptions!$B$17</f>
        <v>3584.2033750102632</v>
      </c>
      <c r="H21" s="42">
        <f>H20*Assumptions!$B$17</f>
        <v>3837.0857641202301</v>
      </c>
      <c r="I21" s="42">
        <f>I20*Assumptions!$B$17</f>
        <v>4217.210053175726</v>
      </c>
    </row>
    <row r="22" spans="1:10" ht="19.5" customHeight="1" x14ac:dyDescent="0.2">
      <c r="A22" s="29" t="s">
        <v>89</v>
      </c>
      <c r="B22" s="44">
        <f t="shared" ref="B22:I22" si="7">B20-B21</f>
        <v>13021</v>
      </c>
      <c r="C22" s="44">
        <f t="shared" si="7"/>
        <v>10044</v>
      </c>
      <c r="D22" s="44">
        <f t="shared" si="7"/>
        <v>10313</v>
      </c>
      <c r="E22" s="44">
        <f t="shared" si="7"/>
        <v>14756.5650781</v>
      </c>
      <c r="F22" s="44">
        <f t="shared" si="7"/>
        <v>15920.65298833501</v>
      </c>
      <c r="G22" s="44">
        <f t="shared" si="7"/>
        <v>17499.34588975599</v>
      </c>
      <c r="H22" s="44">
        <f t="shared" si="7"/>
        <v>18734.006965998768</v>
      </c>
      <c r="I22" s="44">
        <f t="shared" si="7"/>
        <v>20589.907906681488</v>
      </c>
    </row>
    <row r="23" spans="1:10" ht="15.75" customHeight="1" x14ac:dyDescent="0.2">
      <c r="A23" s="43" t="s">
        <v>90</v>
      </c>
      <c r="B23" s="45">
        <f t="shared" ref="B23:I23" si="8">IF(B5=0,"-",B22/B5)</f>
        <v>0.13885363902959211</v>
      </c>
      <c r="C23" s="45">
        <f t="shared" si="8"/>
        <v>0.11794408107187732</v>
      </c>
      <c r="D23" s="45">
        <f t="shared" si="8"/>
        <v>0.11610992895824186</v>
      </c>
      <c r="E23" s="45">
        <f t="shared" si="8"/>
        <v>0.15747700968095427</v>
      </c>
      <c r="F23" s="45">
        <f t="shared" si="8"/>
        <v>0.16180929262925314</v>
      </c>
      <c r="G23" s="45">
        <f t="shared" si="8"/>
        <v>0.17019551363907692</v>
      </c>
      <c r="H23" s="45">
        <f t="shared" si="8"/>
        <v>0.17435751848759656</v>
      </c>
      <c r="I23" s="45">
        <f t="shared" si="8"/>
        <v>0.1842599999999999</v>
      </c>
    </row>
    <row r="24" spans="1:10" ht="7.5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</row>
    <row r="25" spans="1:10" ht="18" customHeight="1" x14ac:dyDescent="0.2">
      <c r="A25" s="22" t="s">
        <v>91</v>
      </c>
      <c r="B25" s="47">
        <f>B22/Assumptions!$B$39</f>
        <v>5.425416666666667</v>
      </c>
      <c r="C25" s="47">
        <f>C22/Assumptions!$B$39</f>
        <v>4.1849999999999996</v>
      </c>
      <c r="D25" s="47">
        <f>D22/Assumptions!$B$39</f>
        <v>4.2970833333333331</v>
      </c>
      <c r="E25" s="47">
        <f>E22/Assumptions!$B$39</f>
        <v>6.1485687825416671</v>
      </c>
      <c r="F25" s="47">
        <f>F22/Assumptions!$B$39</f>
        <v>6.6336054118062542</v>
      </c>
      <c r="G25" s="47">
        <f>G22/Assumptions!$B$39</f>
        <v>7.2913941207316624</v>
      </c>
      <c r="H25" s="47">
        <f>H22/Assumptions!$B$39</f>
        <v>7.8058362358328202</v>
      </c>
      <c r="I25" s="47">
        <f>I22/Assumptions!$B$39</f>
        <v>8.5791282944506193</v>
      </c>
    </row>
    <row r="27" spans="1:10" x14ac:dyDescent="0.2">
      <c r="A27" s="19"/>
      <c r="B27" s="19"/>
      <c r="C27" s="19"/>
      <c r="D27" s="19"/>
      <c r="E27" s="19"/>
      <c r="F27" s="19"/>
      <c r="G27" s="19"/>
      <c r="H27" s="19"/>
      <c r="I27" s="19"/>
    </row>
    <row r="28" spans="1:10" x14ac:dyDescent="0.2">
      <c r="A28" s="3" t="s">
        <v>92</v>
      </c>
      <c r="B28" s="3"/>
      <c r="C28" s="3"/>
      <c r="D28" s="3"/>
      <c r="E28" s="3"/>
      <c r="F28" s="3"/>
      <c r="G28" s="3"/>
      <c r="H28" s="3"/>
      <c r="I28" s="3"/>
    </row>
    <row r="29" spans="1:10" ht="18" customHeight="1" x14ac:dyDescent="0.2">
      <c r="A29" s="43" t="s">
        <v>93</v>
      </c>
      <c r="B29" s="42">
        <f t="shared" ref="B29:I29" si="9">B16</f>
        <v>18781</v>
      </c>
      <c r="C29" s="42">
        <f t="shared" si="9"/>
        <v>15493</v>
      </c>
      <c r="D29" s="42">
        <f t="shared" si="9"/>
        <v>16507</v>
      </c>
      <c r="E29" s="42">
        <f t="shared" si="9"/>
        <v>18178.994070000001</v>
      </c>
      <c r="F29" s="42">
        <f t="shared" si="9"/>
        <v>19481.509624500013</v>
      </c>
      <c r="G29" s="42">
        <f t="shared" si="9"/>
        <v>21283.549264766254</v>
      </c>
      <c r="H29" s="42">
        <f t="shared" si="9"/>
        <v>22671.092730118999</v>
      </c>
      <c r="I29" s="42">
        <f t="shared" si="9"/>
        <v>24807.117959857213</v>
      </c>
    </row>
    <row r="30" spans="1:10" ht="18" customHeight="1" x14ac:dyDescent="0.2">
      <c r="A30" s="43" t="s">
        <v>94</v>
      </c>
      <c r="B30" s="48">
        <f>B29*Assumptions!$B$17</f>
        <v>3192.7700000000004</v>
      </c>
      <c r="C30" s="48">
        <f>C29*Assumptions!$B$17</f>
        <v>2633.8100000000004</v>
      </c>
      <c r="D30" s="48">
        <f>D29*Assumptions!$B$17</f>
        <v>2806.19</v>
      </c>
      <c r="E30" s="48">
        <f>E29*Assumptions!$B$17</f>
        <v>3090.4289919000003</v>
      </c>
      <c r="F30" s="48">
        <f>F29*Assumptions!$B$17</f>
        <v>3311.8566361650023</v>
      </c>
      <c r="G30" s="48">
        <f>G29*Assumptions!$B$17</f>
        <v>3618.2033750102632</v>
      </c>
      <c r="H30" s="48">
        <f>H29*Assumptions!$B$17</f>
        <v>3854.0857641202301</v>
      </c>
      <c r="I30" s="48">
        <f>I29*Assumptions!$B$17</f>
        <v>4217.210053175726</v>
      </c>
    </row>
    <row r="31" spans="1:10" ht="19.5" customHeight="1" x14ac:dyDescent="0.2">
      <c r="A31" s="29" t="s">
        <v>95</v>
      </c>
      <c r="B31" s="44">
        <f t="shared" ref="B31:I31" si="10">B29-B30</f>
        <v>15588.23</v>
      </c>
      <c r="C31" s="44">
        <f t="shared" si="10"/>
        <v>12859.189999999999</v>
      </c>
      <c r="D31" s="44">
        <f t="shared" si="10"/>
        <v>13700.81</v>
      </c>
      <c r="E31" s="44">
        <f t="shared" si="10"/>
        <v>15088.5650781</v>
      </c>
      <c r="F31" s="44">
        <f t="shared" si="10"/>
        <v>16169.65298833501</v>
      </c>
      <c r="G31" s="44">
        <f t="shared" si="10"/>
        <v>17665.34588975599</v>
      </c>
      <c r="H31" s="44">
        <f t="shared" si="10"/>
        <v>18817.006965998768</v>
      </c>
      <c r="I31" s="44">
        <f t="shared" si="10"/>
        <v>20589.907906681488</v>
      </c>
    </row>
    <row r="32" spans="1:10" ht="18" customHeight="1" x14ac:dyDescent="0.2">
      <c r="A32" s="43" t="s">
        <v>96</v>
      </c>
      <c r="B32" s="42">
        <f t="shared" ref="B32:I32" si="11">B15</f>
        <v>8200</v>
      </c>
      <c r="C32" s="42">
        <f t="shared" si="11"/>
        <v>7800</v>
      </c>
      <c r="D32" s="42">
        <f t="shared" si="11"/>
        <v>8100</v>
      </c>
      <c r="E32" s="42">
        <f t="shared" si="11"/>
        <v>8433.5539499999995</v>
      </c>
      <c r="F32" s="42">
        <f t="shared" si="11"/>
        <v>8855.2316475000007</v>
      </c>
      <c r="G32" s="42">
        <f t="shared" si="11"/>
        <v>9048.0789144899991</v>
      </c>
      <c r="H32" s="42">
        <f t="shared" si="11"/>
        <v>9455.242465642048</v>
      </c>
      <c r="I32" s="42">
        <f t="shared" si="11"/>
        <v>9498.2208404858775</v>
      </c>
    </row>
    <row r="33" spans="1:10" ht="18" customHeight="1" x14ac:dyDescent="0.2">
      <c r="A33" s="43" t="s">
        <v>97</v>
      </c>
      <c r="B33" s="25">
        <v>4333</v>
      </c>
      <c r="C33" s="25">
        <v>4100</v>
      </c>
      <c r="D33" s="25">
        <v>4400</v>
      </c>
      <c r="E33" s="42">
        <f>E5*Assumptions!B12</f>
        <v>4685.3077499999999</v>
      </c>
      <c r="F33" s="42">
        <f>F5*Assumptions!C12</f>
        <v>4919.5731375000005</v>
      </c>
      <c r="G33" s="42">
        <f>G5*Assumptions!D12</f>
        <v>4935.3157715400002</v>
      </c>
      <c r="H33" s="42">
        <f>H5*Assumptions!E12</f>
        <v>5157.4049812592993</v>
      </c>
      <c r="I33" s="42">
        <f>I5*Assumptions!F12</f>
        <v>5028.4698567278165</v>
      </c>
      <c r="J33" s="24" t="s">
        <v>98</v>
      </c>
    </row>
    <row r="34" spans="1:10" ht="18" customHeight="1" x14ac:dyDescent="0.2">
      <c r="A34" s="43" t="s">
        <v>99</v>
      </c>
      <c r="B34" s="25">
        <v>1200</v>
      </c>
      <c r="C34" s="25">
        <v>-800</v>
      </c>
      <c r="D34" s="25">
        <v>500</v>
      </c>
      <c r="E34" s="42">
        <f>(E5-D5)*Assumptions!B13</f>
        <v>48.851549999999989</v>
      </c>
      <c r="F34" s="42">
        <f>(F5-E5)*Assumptions!C13</f>
        <v>46.853077500000076</v>
      </c>
      <c r="G34" s="42">
        <f>(G5-F5)*Assumptions!D13</f>
        <v>44.276158237499914</v>
      </c>
      <c r="H34" s="42">
        <f>(H5-G5)*Assumptions!E13</f>
        <v>46.268585358187408</v>
      </c>
      <c r="I34" s="42">
        <f>(I5-H5)*Assumptions!F13</f>
        <v>42.978374843827481</v>
      </c>
      <c r="J34" s="24" t="s">
        <v>100</v>
      </c>
    </row>
    <row r="35" spans="1:10" ht="21.75" customHeight="1" x14ac:dyDescent="0.2">
      <c r="A35" s="29" t="s">
        <v>101</v>
      </c>
      <c r="B35" s="44">
        <f t="shared" ref="B35:I35" si="12">B31+B32-B33-B34</f>
        <v>18255.23</v>
      </c>
      <c r="C35" s="44">
        <f t="shared" si="12"/>
        <v>17359.189999999999</v>
      </c>
      <c r="D35" s="44">
        <f t="shared" si="12"/>
        <v>16900.809999999998</v>
      </c>
      <c r="E35" s="44">
        <f t="shared" si="12"/>
        <v>18787.959728100002</v>
      </c>
      <c r="F35" s="44">
        <f t="shared" si="12"/>
        <v>20058.458420835013</v>
      </c>
      <c r="G35" s="44">
        <f t="shared" si="12"/>
        <v>21733.832874468488</v>
      </c>
      <c r="H35" s="44">
        <f t="shared" si="12"/>
        <v>23068.575865023329</v>
      </c>
      <c r="I35" s="44">
        <f t="shared" si="12"/>
        <v>25016.680515595719</v>
      </c>
    </row>
    <row r="36" spans="1:10" ht="15.75" customHeight="1" x14ac:dyDescent="0.2">
      <c r="A36" s="43" t="s">
        <v>102</v>
      </c>
      <c r="B36" s="45">
        <f t="shared" ref="B36:I36" si="13">IF(B5=0,"-",B35/B5)</f>
        <v>0.19467054118901625</v>
      </c>
      <c r="C36" s="45">
        <f t="shared" si="13"/>
        <v>0.20384445566528492</v>
      </c>
      <c r="D36" s="45">
        <f t="shared" si="13"/>
        <v>0.19027943842109407</v>
      </c>
      <c r="E36" s="45">
        <f t="shared" si="13"/>
        <v>0.20049867298578203</v>
      </c>
      <c r="F36" s="45">
        <f t="shared" si="13"/>
        <v>0.20386380952380964</v>
      </c>
      <c r="G36" s="45">
        <f t="shared" si="13"/>
        <v>0.21137937799043063</v>
      </c>
      <c r="H36" s="45">
        <f t="shared" si="13"/>
        <v>0.21469937799043057</v>
      </c>
      <c r="I36" s="45">
        <f t="shared" si="13"/>
        <v>0.2238753846153845</v>
      </c>
    </row>
  </sheetData>
  <mergeCells count="3">
    <mergeCell ref="A1:I1"/>
    <mergeCell ref="A4:I4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showGridLines="0" zoomScaleNormal="100" workbookViewId="0">
      <selection activeCell="C34" sqref="C34"/>
    </sheetView>
  </sheetViews>
  <sheetFormatPr baseColWidth="10" defaultColWidth="8.6640625" defaultRowHeight="15" x14ac:dyDescent="0.2"/>
  <cols>
    <col min="1" max="1" width="38" customWidth="1"/>
    <col min="2" max="7" width="16" customWidth="1"/>
    <col min="8" max="8" width="26" customWidth="1"/>
  </cols>
  <sheetData>
    <row r="1" spans="1:7" ht="25.5" customHeight="1" x14ac:dyDescent="0.2">
      <c r="A1" s="2" t="s">
        <v>103</v>
      </c>
      <c r="B1" s="2"/>
      <c r="C1" s="2"/>
      <c r="D1" s="2"/>
      <c r="E1" s="2"/>
      <c r="F1" s="2"/>
      <c r="G1" s="2"/>
    </row>
    <row r="2" spans="1:7" x14ac:dyDescent="0.2">
      <c r="A2" s="19"/>
      <c r="B2" s="19"/>
      <c r="C2" s="19"/>
      <c r="D2" s="19"/>
      <c r="E2" s="19"/>
      <c r="F2" s="19"/>
      <c r="G2" s="19"/>
    </row>
    <row r="3" spans="1:7" x14ac:dyDescent="0.2">
      <c r="A3" s="3" t="s">
        <v>104</v>
      </c>
      <c r="B3" s="3"/>
      <c r="C3" s="3"/>
      <c r="D3" s="3"/>
      <c r="E3" s="3"/>
      <c r="F3" s="3"/>
      <c r="G3" s="3"/>
    </row>
    <row r="4" spans="1:7" x14ac:dyDescent="0.2">
      <c r="A4" s="22" t="s">
        <v>105</v>
      </c>
      <c r="B4" s="49">
        <f>Assumptions!B35</f>
        <v>28500</v>
      </c>
      <c r="D4" s="22" t="s">
        <v>106</v>
      </c>
      <c r="E4" s="49">
        <f>Assumptions!B38</f>
        <v>1200</v>
      </c>
    </row>
    <row r="5" spans="1:7" x14ac:dyDescent="0.2">
      <c r="A5" s="11"/>
      <c r="B5" s="11"/>
      <c r="C5" s="11"/>
      <c r="D5" s="11"/>
      <c r="E5" s="11"/>
      <c r="F5" s="11"/>
      <c r="G5" s="11"/>
    </row>
    <row r="6" spans="1:7" x14ac:dyDescent="0.2">
      <c r="A6" s="3" t="s">
        <v>107</v>
      </c>
      <c r="B6" s="3"/>
      <c r="C6" s="3"/>
      <c r="D6" s="3"/>
      <c r="E6" s="3"/>
      <c r="F6" s="3"/>
      <c r="G6" s="3"/>
    </row>
    <row r="7" spans="1:7" ht="19.5" customHeight="1" x14ac:dyDescent="0.2">
      <c r="A7" s="20" t="s">
        <v>108</v>
      </c>
      <c r="B7" s="21" t="s">
        <v>17</v>
      </c>
      <c r="C7" s="21" t="s">
        <v>18</v>
      </c>
      <c r="D7" s="21" t="s">
        <v>19</v>
      </c>
      <c r="E7" s="21" t="s">
        <v>20</v>
      </c>
      <c r="F7" s="21" t="s">
        <v>21</v>
      </c>
    </row>
    <row r="8" spans="1:7" ht="18" customHeight="1" x14ac:dyDescent="0.2">
      <c r="A8" s="22" t="s">
        <v>109</v>
      </c>
      <c r="B8" s="42">
        <f>'IS &amp; FCF'!E35</f>
        <v>18787.959728100002</v>
      </c>
      <c r="C8" s="42">
        <f>'IS &amp; FCF'!F35</f>
        <v>20058.458420835013</v>
      </c>
      <c r="D8" s="42">
        <f>'IS &amp; FCF'!G35</f>
        <v>21733.832874468488</v>
      </c>
      <c r="E8" s="42">
        <f>'IS &amp; FCF'!H35</f>
        <v>23068.575865023329</v>
      </c>
      <c r="F8" s="42">
        <f>'IS &amp; FCF'!I35</f>
        <v>25016.680515595719</v>
      </c>
    </row>
    <row r="9" spans="1:7" ht="18" customHeight="1" x14ac:dyDescent="0.2">
      <c r="A9" s="22" t="s">
        <v>110</v>
      </c>
      <c r="B9" s="50">
        <v>1</v>
      </c>
      <c r="C9" s="50">
        <v>2</v>
      </c>
      <c r="D9" s="50">
        <v>3</v>
      </c>
      <c r="E9" s="50">
        <v>4</v>
      </c>
      <c r="F9" s="50">
        <v>5</v>
      </c>
    </row>
    <row r="10" spans="1:7" ht="18" customHeight="1" x14ac:dyDescent="0.2">
      <c r="A10" s="22" t="s">
        <v>111</v>
      </c>
      <c r="B10" s="51">
        <f>1/(1+Assumptions!$B$35)^B9</f>
        <v>3.5086488193396722E-5</v>
      </c>
      <c r="C10" s="51">
        <f>1/(1+Assumptions!$B$35)^C9</f>
        <v>1.2310616537453677E-9</v>
      </c>
      <c r="D10" s="51">
        <f>1/(1+Assumptions!$B$35)^D9</f>
        <v>4.3193630179480289E-14</v>
      </c>
      <c r="E10" s="51">
        <f>1/(1+Assumptions!$B$35)^E9</f>
        <v>1.5155127953222795E-18</v>
      </c>
      <c r="F10" s="51">
        <f>1/(1+Assumptions!$B$35)^F9</f>
        <v>5.3174021800016819E-23</v>
      </c>
    </row>
    <row r="11" spans="1:7" ht="19.5" customHeight="1" x14ac:dyDescent="0.2">
      <c r="A11" s="29" t="s">
        <v>112</v>
      </c>
      <c r="B11" s="44">
        <f>B8*B10</f>
        <v>0.6592035271779938</v>
      </c>
      <c r="C11" s="44">
        <f>C8*C10</f>
        <v>2.4693198995135849E-5</v>
      </c>
      <c r="D11" s="44">
        <f>D8*D10</f>
        <v>9.387631395624228E-10</v>
      </c>
      <c r="E11" s="44">
        <f>E8*E10</f>
        <v>3.4960721893305578E-14</v>
      </c>
      <c r="F11" s="44">
        <f>F8*F10</f>
        <v>1.3302375151003428E-18</v>
      </c>
    </row>
    <row r="12" spans="1:7" x14ac:dyDescent="0.2">
      <c r="A12" s="11"/>
      <c r="B12" s="11"/>
      <c r="C12" s="11"/>
      <c r="D12" s="11"/>
      <c r="E12" s="11"/>
      <c r="F12" s="11"/>
      <c r="G12" s="11"/>
    </row>
    <row r="13" spans="1:7" x14ac:dyDescent="0.2">
      <c r="A13" s="3" t="s">
        <v>113</v>
      </c>
      <c r="B13" s="3"/>
      <c r="C13" s="3"/>
      <c r="D13" s="3"/>
      <c r="E13" s="3"/>
      <c r="F13" s="3"/>
      <c r="G13" s="3"/>
    </row>
    <row r="14" spans="1:7" ht="18" customHeight="1" x14ac:dyDescent="0.2">
      <c r="A14" s="22" t="s">
        <v>114</v>
      </c>
      <c r="B14" s="42">
        <f>'IS &amp; FCF'!I35</f>
        <v>25016.680515595719</v>
      </c>
    </row>
    <row r="15" spans="1:7" ht="18" customHeight="1" x14ac:dyDescent="0.2">
      <c r="A15" s="22" t="s">
        <v>106</v>
      </c>
      <c r="B15" s="49">
        <f>Assumptions!B38</f>
        <v>1200</v>
      </c>
    </row>
    <row r="16" spans="1:7" ht="18" customHeight="1" x14ac:dyDescent="0.2">
      <c r="A16" s="22" t="s">
        <v>105</v>
      </c>
      <c r="B16" s="49">
        <f>Assumptions!B35</f>
        <v>28500</v>
      </c>
    </row>
    <row r="17" spans="1:8" ht="19.5" customHeight="1" x14ac:dyDescent="0.2">
      <c r="A17" s="29" t="s">
        <v>115</v>
      </c>
      <c r="B17" s="46">
        <f>B14*(1+B15)/(B16-B15)</f>
        <v>1100.5506703014821</v>
      </c>
    </row>
    <row r="18" spans="1:8" ht="19.5" customHeight="1" x14ac:dyDescent="0.2">
      <c r="A18" s="29" t="s">
        <v>116</v>
      </c>
      <c r="B18" s="38">
        <f>B17/(1+Assumptions!B35)^5</f>
        <v>5.8520705334634143E-20</v>
      </c>
    </row>
    <row r="19" spans="1:8" ht="7.5" customHeight="1" x14ac:dyDescent="0.2">
      <c r="A19" s="11"/>
      <c r="B19" s="11"/>
      <c r="C19" s="11"/>
      <c r="D19" s="11"/>
      <c r="E19" s="11"/>
      <c r="F19" s="11"/>
      <c r="G19" s="11"/>
    </row>
    <row r="20" spans="1:8" ht="7.5" customHeight="1" x14ac:dyDescent="0.2">
      <c r="A20" s="3" t="s">
        <v>117</v>
      </c>
      <c r="B20" s="3"/>
      <c r="C20" s="3"/>
      <c r="D20" s="3"/>
      <c r="E20" s="3"/>
      <c r="F20" s="3"/>
      <c r="G20" s="3"/>
    </row>
    <row r="21" spans="1:8" ht="18" customHeight="1" x14ac:dyDescent="0.2">
      <c r="A21" s="22" t="s">
        <v>118</v>
      </c>
      <c r="B21" s="48">
        <f>SUM(B11:F11)</f>
        <v>0.65922822131578707</v>
      </c>
    </row>
    <row r="22" spans="1:8" ht="18" customHeight="1" x14ac:dyDescent="0.2">
      <c r="A22" s="22" t="s">
        <v>119</v>
      </c>
      <c r="B22" s="42">
        <f>B18</f>
        <v>5.8520705334634143E-20</v>
      </c>
    </row>
    <row r="23" spans="1:8" ht="19.5" customHeight="1" x14ac:dyDescent="0.2">
      <c r="A23" s="29" t="s">
        <v>120</v>
      </c>
      <c r="B23" s="44">
        <f>B21+B22</f>
        <v>0.65922822131578707</v>
      </c>
    </row>
    <row r="24" spans="1:8" ht="18" customHeight="1" x14ac:dyDescent="0.2">
      <c r="A24" s="22" t="s">
        <v>121</v>
      </c>
      <c r="B24" s="42">
        <f>Assumptions!B37</f>
        <v>8700</v>
      </c>
    </row>
    <row r="25" spans="1:8" ht="18" customHeight="1" x14ac:dyDescent="0.2">
      <c r="A25" s="22" t="s">
        <v>122</v>
      </c>
      <c r="B25" s="42">
        <f>Assumptions!B38</f>
        <v>1200</v>
      </c>
    </row>
    <row r="26" spans="1:8" ht="19.5" customHeight="1" x14ac:dyDescent="0.2">
      <c r="A26" s="29" t="s">
        <v>123</v>
      </c>
      <c r="B26" s="44">
        <f>B23-B24-B25</f>
        <v>-9899.3407717786849</v>
      </c>
    </row>
    <row r="27" spans="1:8" ht="18" customHeight="1" x14ac:dyDescent="0.2">
      <c r="A27" s="22" t="s">
        <v>60</v>
      </c>
      <c r="B27" s="52">
        <f>Assumptions!B39</f>
        <v>2400</v>
      </c>
    </row>
    <row r="28" spans="1:8" ht="21.75" customHeight="1" x14ac:dyDescent="0.2">
      <c r="A28" s="33" t="s">
        <v>124</v>
      </c>
      <c r="B28" s="53">
        <f>B26/B27*1000</f>
        <v>-4124.7253215744522</v>
      </c>
      <c r="C28" s="35"/>
      <c r="D28" s="35"/>
      <c r="E28" s="35"/>
      <c r="F28" s="35"/>
      <c r="G28" s="35"/>
      <c r="H28" s="24" t="s">
        <v>125</v>
      </c>
    </row>
    <row r="29" spans="1:8" ht="18" customHeight="1" x14ac:dyDescent="0.2">
      <c r="A29" s="22" t="s">
        <v>62</v>
      </c>
      <c r="B29" s="54">
        <f>Assumptions!B40</f>
        <v>157</v>
      </c>
    </row>
    <row r="30" spans="1:8" ht="19.5" customHeight="1" x14ac:dyDescent="0.2">
      <c r="A30" s="29" t="s">
        <v>126</v>
      </c>
      <c r="B30" s="55">
        <f>B28/B29-1</f>
        <v>-27.272135806206702</v>
      </c>
    </row>
    <row r="31" spans="1:8" x14ac:dyDescent="0.2">
      <c r="A31" s="11"/>
      <c r="B31" s="11"/>
      <c r="C31" s="11"/>
      <c r="D31" s="11"/>
      <c r="E31" s="11"/>
      <c r="F31" s="11"/>
      <c r="G31" s="11"/>
    </row>
    <row r="32" spans="1:8" x14ac:dyDescent="0.2">
      <c r="A32" s="3" t="s">
        <v>127</v>
      </c>
      <c r="B32" s="3"/>
      <c r="C32" s="3"/>
      <c r="D32" s="3"/>
      <c r="E32" s="3"/>
      <c r="F32" s="3"/>
      <c r="G32" s="3"/>
    </row>
    <row r="33" spans="1:7" ht="18" customHeight="1" x14ac:dyDescent="0.2">
      <c r="A33" s="22" t="s">
        <v>128</v>
      </c>
      <c r="B33" s="45">
        <f>B21/B23</f>
        <v>1</v>
      </c>
    </row>
    <row r="34" spans="1:7" ht="18" customHeight="1" x14ac:dyDescent="0.2">
      <c r="A34" s="22" t="s">
        <v>129</v>
      </c>
      <c r="B34" s="45">
        <f>B22/B23</f>
        <v>8.8771541390976401E-20</v>
      </c>
    </row>
    <row r="36" spans="1:7" x14ac:dyDescent="0.2">
      <c r="A36" s="3" t="s">
        <v>130</v>
      </c>
      <c r="B36" s="3"/>
      <c r="C36" s="3"/>
      <c r="D36" s="3"/>
      <c r="E36" s="3"/>
      <c r="F36" s="3"/>
      <c r="G36" s="3"/>
    </row>
    <row r="37" spans="1:7" ht="18" customHeight="1" x14ac:dyDescent="0.2">
      <c r="A37" s="22" t="s">
        <v>131</v>
      </c>
      <c r="B37" s="42">
        <f>B23</f>
        <v>0.65922822131578707</v>
      </c>
    </row>
    <row r="38" spans="1:7" ht="18" customHeight="1" x14ac:dyDescent="0.2">
      <c r="A38" s="22" t="s">
        <v>132</v>
      </c>
      <c r="B38" s="42">
        <f>'IS &amp; FCF'!I12</f>
        <v>34305.338800343088</v>
      </c>
    </row>
    <row r="39" spans="1:7" ht="18" customHeight="1" x14ac:dyDescent="0.2">
      <c r="A39" s="22" t="s">
        <v>133</v>
      </c>
      <c r="B39" s="56">
        <f>B37/B38</f>
        <v>1.921649062125555E-5</v>
      </c>
    </row>
    <row r="40" spans="1:7" ht="18" customHeight="1" x14ac:dyDescent="0.2">
      <c r="A40" s="22" t="s">
        <v>134</v>
      </c>
      <c r="B40" s="57">
        <f>Assumptions!B32</f>
        <v>14</v>
      </c>
    </row>
    <row r="41" spans="1:7" ht="18" customHeight="1" x14ac:dyDescent="0.2">
      <c r="A41" s="22" t="s">
        <v>135</v>
      </c>
      <c r="B41" s="47">
        <f>(B38*Assumptions!B32-Assumptions!B37-Assumptions!B38)/Assumptions!B39*1000</f>
        <v>195989.47633533468</v>
      </c>
    </row>
  </sheetData>
  <mergeCells count="7">
    <mergeCell ref="A32:G32"/>
    <mergeCell ref="A36:G36"/>
    <mergeCell ref="A1:G1"/>
    <mergeCell ref="A3:G3"/>
    <mergeCell ref="A6:G6"/>
    <mergeCell ref="A13:G13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showGridLines="0" zoomScaleNormal="100" workbookViewId="0">
      <selection activeCell="B32" sqref="B32"/>
    </sheetView>
  </sheetViews>
  <sheetFormatPr baseColWidth="10" defaultColWidth="8.6640625" defaultRowHeight="15" x14ac:dyDescent="0.2"/>
  <cols>
    <col min="1" max="1" width="30" customWidth="1"/>
    <col min="2" max="2" width="16" customWidth="1"/>
    <col min="3" max="8" width="14" customWidth="1"/>
  </cols>
  <sheetData>
    <row r="1" spans="1:8" ht="25.5" customHeight="1" x14ac:dyDescent="0.2">
      <c r="A1" s="2" t="s">
        <v>136</v>
      </c>
      <c r="B1" s="2"/>
      <c r="C1" s="2"/>
      <c r="D1" s="2"/>
      <c r="E1" s="2"/>
      <c r="F1" s="2"/>
      <c r="G1" s="2"/>
      <c r="H1" s="2"/>
    </row>
    <row r="2" spans="1:8" ht="7.5" customHeight="1" x14ac:dyDescent="0.2">
      <c r="A2" s="19"/>
      <c r="B2" s="19"/>
      <c r="C2" s="19"/>
      <c r="D2" s="19"/>
      <c r="E2" s="19"/>
      <c r="F2" s="19"/>
      <c r="G2" s="19"/>
      <c r="H2" s="19"/>
    </row>
    <row r="3" spans="1:8" ht="22" customHeight="1" x14ac:dyDescent="0.2">
      <c r="A3" s="1" t="s">
        <v>137</v>
      </c>
      <c r="B3" s="1"/>
      <c r="C3" s="1"/>
      <c r="D3" s="1"/>
      <c r="E3" s="1"/>
      <c r="F3" s="1"/>
      <c r="G3" s="1"/>
      <c r="H3" s="1"/>
    </row>
    <row r="5" spans="1:8" x14ac:dyDescent="0.2">
      <c r="A5" s="3" t="s">
        <v>138</v>
      </c>
      <c r="B5" s="3"/>
      <c r="C5" s="3"/>
      <c r="D5" s="3"/>
      <c r="E5" s="3"/>
      <c r="F5" s="3"/>
      <c r="G5" s="3"/>
      <c r="H5" s="3"/>
    </row>
    <row r="6" spans="1:8" ht="19.5" customHeight="1" x14ac:dyDescent="0.2">
      <c r="A6" s="21" t="s">
        <v>139</v>
      </c>
      <c r="B6" s="58" t="s">
        <v>140</v>
      </c>
      <c r="C6" s="59">
        <v>1.4999999999999999E-2</v>
      </c>
      <c r="D6" s="59">
        <v>0.02</v>
      </c>
      <c r="E6" s="60">
        <v>2.5000000000000001E-2</v>
      </c>
      <c r="F6" s="59">
        <v>0.03</v>
      </c>
      <c r="G6" s="59">
        <v>3.5000000000000003E-2</v>
      </c>
      <c r="H6" s="59">
        <v>0.04</v>
      </c>
    </row>
    <row r="7" spans="1:8" ht="19.5" customHeight="1" x14ac:dyDescent="0.2">
      <c r="A7" s="27">
        <v>5.5E-2</v>
      </c>
      <c r="B7" s="61" t="s">
        <v>141</v>
      </c>
      <c r="C7" s="47">
        <f>IF($A7&lt;=C$6,"N/A",('IS &amp; FCF'!E35/(1+$A7)^1+'IS &amp; FCF'!F35/(1+$A7)^2+'IS &amp; FCF'!G35/(1+$A7)^3+'IS &amp; FCF'!H35/(1+$A7)^4+'IS &amp; FCF'!I35/(1+$A7)^5+('IS &amp; FCF'!I35*(1+C$6)/($A7-C$6))/(1+$A7)^5-Assumptions!$B$37-Assumptions!$B$38)/Assumptions!$B$39*1000)</f>
        <v>236628.04880879421</v>
      </c>
      <c r="D7" s="47">
        <f>IF($A7&lt;=D$6,"N/A",('IS &amp; FCF'!E35/(1+$A7)^1+'IS &amp; FCF'!F35/(1+$A7)^2+'IS &amp; FCF'!G35/(1+$A7)^3+'IS &amp; FCF'!H35/(1+$A7)^4+'IS &amp; FCF'!I35/(1+$A7)^5+('IS &amp; FCF'!I35*(1+D$6)/($A7-D$6))/(1+$A7)^5-Assumptions!$B$37-Assumptions!$B$38)/Assumptions!$B$39*1000)</f>
        <v>266678.47049634013</v>
      </c>
      <c r="E7" s="47">
        <f>IF($A7&lt;=E$6,"N/A",('IS &amp; FCF'!E35/(1+$A7)^1+'IS &amp; FCF'!F35/(1+$A7)^2+'IS &amp; FCF'!G35/(1+$A7)^3+'IS &amp; FCF'!H35/(1+$A7)^4+'IS &amp; FCF'!I35/(1+$A7)^5+('IS &amp; FCF'!I35*(1+E$6)/($A7-E$6))/(1+$A7)^5-Assumptions!$B$37-Assumptions!$B$38)/Assumptions!$B$39*1000)</f>
        <v>306745.69941306795</v>
      </c>
      <c r="F7" s="47">
        <f>IF($A7&lt;=F$6,"N/A",('IS &amp; FCF'!E35/(1+$A7)^1+'IS &amp; FCF'!F35/(1+$A7)^2+'IS &amp; FCF'!G35/(1+$A7)^3+'IS &amp; FCF'!H35/(1+$A7)^4+'IS &amp; FCF'!I35/(1+$A7)^5+('IS &amp; FCF'!I35*(1+F$6)/($A7-F$6))/(1+$A7)^5-Assumptions!$B$37-Assumptions!$B$38)/Assumptions!$B$39*1000)</f>
        <v>362839.81989648688</v>
      </c>
      <c r="G7" s="47">
        <f>IF($A7&lt;=G$6,"N/A",('IS &amp; FCF'!E35/(1+$A7)^1+'IS &amp; FCF'!F35/(1+$A7)^2+'IS &amp; FCF'!G35/(1+$A7)^3+'IS &amp; FCF'!H35/(1+$A7)^4+'IS &amp; FCF'!I35/(1+$A7)^5+('IS &amp; FCF'!I35*(1+G$6)/($A7-G$6))/(1+$A7)^5-Assumptions!$B$37-Assumptions!$B$38)/Assumptions!$B$39*1000)</f>
        <v>446981.00062161527</v>
      </c>
      <c r="H7" s="47">
        <f>IF($A7&lt;=H$6,"N/A",('IS &amp; FCF'!E35/(1+$A7)^1+'IS &amp; FCF'!F35/(1+$A7)^2+'IS &amp; FCF'!G35/(1+$A7)^3+'IS &amp; FCF'!H35/(1+$A7)^4+'IS &amp; FCF'!I35/(1+$A7)^5+('IS &amp; FCF'!I35*(1+H$6)/($A7-H$6))/(1+$A7)^5-Assumptions!$B$37-Assumptions!$B$38)/Assumptions!$B$39*1000)</f>
        <v>587216.30183016264</v>
      </c>
    </row>
    <row r="8" spans="1:8" ht="19.5" customHeight="1" x14ac:dyDescent="0.2">
      <c r="A8" s="27">
        <v>0.06</v>
      </c>
      <c r="B8" s="61" t="s">
        <v>141</v>
      </c>
      <c r="C8" s="47">
        <f>IF($A8&lt;=C$6,"N/A",('IS &amp; FCF'!E35/(1+$A8)^1+'IS &amp; FCF'!F35/(1+$A8)^2+'IS &amp; FCF'!G35/(1+$A8)^3+'IS &amp; FCF'!H35/(1+$A8)^4+'IS &amp; FCF'!I35/(1+$A8)^5+('IS &amp; FCF'!I35*(1+C$6)/($A8-C$6))/(1+$A8)^5-Assumptions!$B$37-Assumptions!$B$38)/Assumptions!$B$39*1000)</f>
        <v>209392.7965667051</v>
      </c>
      <c r="D8" s="47">
        <f>IF($A8&lt;=D$6,"N/A",('IS &amp; FCF'!E35/(1+$A8)^1+'IS &amp; FCF'!F35/(1+$A8)^2+'IS &amp; FCF'!G35/(1+$A8)^3+'IS &amp; FCF'!H35/(1+$A8)^4+'IS &amp; FCF'!I35/(1+$A8)^5+('IS &amp; FCF'!I35*(1+D$6)/($A8-D$6))/(1+$A8)^5-Assumptions!$B$37-Assumptions!$B$38)/Assumptions!$B$39*1000)</f>
        <v>232327.46567741511</v>
      </c>
      <c r="E8" s="47">
        <f>IF($A8&lt;=E$6,"N/A",('IS &amp; FCF'!E35/(1+$A8)^1+'IS &amp; FCF'!F35/(1+$A8)^2+'IS &amp; FCF'!G35/(1+$A8)^3+'IS &amp; FCF'!H35/(1+$A8)^4+'IS &amp; FCF'!I35/(1+$A8)^5+('IS &amp; FCF'!I35*(1+E$6)/($A8-E$6))/(1+$A8)^5-Assumptions!$B$37-Assumptions!$B$38)/Assumptions!$B$39*1000)</f>
        <v>261814.89739118502</v>
      </c>
      <c r="F8" s="47">
        <f>IF($A8&lt;=F$6,"N/A",('IS &amp; FCF'!E35/(1+$A8)^1+'IS &amp; FCF'!F35/(1+$A8)^2+'IS &amp; FCF'!G35/(1+$A8)^3+'IS &amp; FCF'!H35/(1+$A8)^4+'IS &amp; FCF'!I35/(1+$A8)^5+('IS &amp; FCF'!I35*(1+F$6)/($A8-F$6))/(1+$A8)^5-Assumptions!$B$37-Assumptions!$B$38)/Assumptions!$B$39*1000)</f>
        <v>301131.47300954501</v>
      </c>
      <c r="G8" s="47">
        <f>IF($A8&lt;=G$6,"N/A",('IS &amp; FCF'!E35/(1+$A8)^1+'IS &amp; FCF'!F35/(1+$A8)^2+'IS &amp; FCF'!G35/(1+$A8)^3+'IS &amp; FCF'!H35/(1+$A8)^4+'IS &amp; FCF'!I35/(1+$A8)^5+('IS &amp; FCF'!I35*(1+G$6)/($A8-G$6))/(1+$A8)^5-Assumptions!$B$37-Assumptions!$B$38)/Assumptions!$B$39*1000)</f>
        <v>356174.678875249</v>
      </c>
      <c r="H8" s="47">
        <f>IF($A8&lt;=H$6,"N/A",('IS &amp; FCF'!E35/(1+$A8)^1+'IS &amp; FCF'!F35/(1+$A8)^2+'IS &amp; FCF'!G35/(1+$A8)^3+'IS &amp; FCF'!H35/(1+$A8)^4+'IS &amp; FCF'!I35/(1+$A8)^5+('IS &amp; FCF'!I35*(1+H$6)/($A8-H$6))/(1+$A8)^5-Assumptions!$B$37-Assumptions!$B$38)/Assumptions!$B$39*1000)</f>
        <v>438739.48767380498</v>
      </c>
    </row>
    <row r="9" spans="1:8" ht="19.5" customHeight="1" x14ac:dyDescent="0.2">
      <c r="A9" s="27">
        <v>6.5000000000000002E-2</v>
      </c>
      <c r="B9" s="61" t="s">
        <v>141</v>
      </c>
      <c r="C9" s="47">
        <f>IF($A9&lt;=C$6,"N/A",('IS &amp; FCF'!E35/(1+$A9)^1+'IS &amp; FCF'!F35/(1+$A9)^2+'IS &amp; FCF'!G35/(1+$A9)^3+'IS &amp; FCF'!H35/(1+$A9)^4+'IS &amp; FCF'!I35/(1+$A9)^5+('IS &amp; FCF'!I35*(1+C$6)/($A9-C$6))/(1+$A9)^5-Assumptions!$B$37-Assumptions!$B$38)/Assumptions!$B$39*1000)</f>
        <v>187612.89239644867</v>
      </c>
      <c r="D9" s="47">
        <f>IF($A9&lt;=D$6,"N/A",('IS &amp; FCF'!E35/(1+$A9)^1+'IS &amp; FCF'!F35/(1+$A9)^2+'IS &amp; FCF'!G35/(1+$A9)^3+'IS &amp; FCF'!H35/(1+$A9)^4+'IS &amp; FCF'!I35/(1+$A9)^5+('IS &amp; FCF'!I35*(1+D$6)/($A9-D$6))/(1+$A9)^5-Assumptions!$B$37-Assumptions!$B$38)/Assumptions!$B$39*1000)</f>
        <v>205618.48815784778</v>
      </c>
      <c r="E9" s="47">
        <f>IF($A9&lt;=E$6,"N/A",('IS &amp; FCF'!E35/(1+$A9)^1+'IS &amp; FCF'!F35/(1+$A9)^2+'IS &amp; FCF'!G35/(1+$A9)^3+'IS &amp; FCF'!H35/(1+$A9)^4+'IS &amp; FCF'!I35/(1+$A9)^5+('IS &amp; FCF'!I35*(1+E$6)/($A9-E$6))/(1+$A9)^5-Assumptions!$B$37-Assumptions!$B$38)/Assumptions!$B$39*1000)</f>
        <v>228125.48285959661</v>
      </c>
      <c r="F9" s="47">
        <f>IF($A9&lt;=F$6,"N/A",('IS &amp; FCF'!E35/(1+$A9)^1+'IS &amp; FCF'!F35/(1+$A9)^2+'IS &amp; FCF'!G35/(1+$A9)^3+'IS &amp; FCF'!H35/(1+$A9)^4+'IS &amp; FCF'!I35/(1+$A9)^5+('IS &amp; FCF'!I35*(1+F$6)/($A9-F$6))/(1+$A9)^5-Assumptions!$B$37-Assumptions!$B$38)/Assumptions!$B$39*1000)</f>
        <v>257063.04747613086</v>
      </c>
      <c r="G9" s="47">
        <f>IF($A9&lt;=G$6,"N/A",('IS &amp; FCF'!E35/(1+$A9)^1+'IS &amp; FCF'!F35/(1+$A9)^2+'IS &amp; FCF'!G35/(1+$A9)^3+'IS &amp; FCF'!H35/(1+$A9)^4+'IS &amp; FCF'!I35/(1+$A9)^5+('IS &amp; FCF'!I35*(1+G$6)/($A9-G$6))/(1+$A9)^5-Assumptions!$B$37-Assumptions!$B$38)/Assumptions!$B$39*1000)</f>
        <v>295646.46696484316</v>
      </c>
      <c r="H9" s="47">
        <f>IF($A9&lt;=H$6,"N/A",('IS &amp; FCF'!E35/(1+$A9)^1+'IS &amp; FCF'!F35/(1+$A9)^2+'IS &amp; FCF'!G35/(1+$A9)^3+'IS &amp; FCF'!H35/(1+$A9)^4+'IS &amp; FCF'!I35/(1+$A9)^5+('IS &amp; FCF'!I35*(1+H$6)/($A9-H$6))/(1+$A9)^5-Assumptions!$B$37-Assumptions!$B$38)/Assumptions!$B$39*1000)</f>
        <v>349663.25424904039</v>
      </c>
    </row>
    <row r="10" spans="1:8" ht="19.5" customHeight="1" x14ac:dyDescent="0.2">
      <c r="A10" s="27">
        <v>7.0000000000000007E-2</v>
      </c>
      <c r="B10" s="61" t="s">
        <v>141</v>
      </c>
      <c r="C10" s="47">
        <f>IF($A10&lt;=C$6,"N/A",('IS &amp; FCF'!E35/(1+$A10)^1+'IS &amp; FCF'!F35/(1+$A10)^2+'IS &amp; FCF'!G35/(1+$A10)^3+'IS &amp; FCF'!H35/(1+$A10)^4+'IS &amp; FCF'!I35/(1+$A10)^5+('IS &amp; FCF'!I35*(1+C$6)/($A10-C$6))/(1+$A10)^5-Assumptions!$B$37-Assumptions!$B$38)/Assumptions!$B$39*1000)</f>
        <v>169800.32765996651</v>
      </c>
      <c r="D10" s="47">
        <f>IF($A10&lt;=D$6,"N/A",('IS &amp; FCF'!E35/(1+$A10)^1+'IS &amp; FCF'!F35/(1+$A10)^2+'IS &amp; FCF'!G35/(1+$A10)^3+'IS &amp; FCF'!H35/(1+$A10)^4+'IS &amp; FCF'!I35/(1+$A10)^5+('IS &amp; FCF'!I35*(1+D$6)/($A10-D$6))/(1+$A10)^5-Assumptions!$B$37-Assumptions!$B$38)/Assumptions!$B$39*1000)</f>
        <v>184258.74113471698</v>
      </c>
      <c r="E10" s="62">
        <f>IF($A10&lt;=E$6,"N/A",('IS &amp; FCF'!E35/(1+$A10)^1+'IS &amp; FCF'!F35/(1+$A10)^2+'IS &amp; FCF'!G35/(1+$A10)^3+'IS &amp; FCF'!H35/(1+$A10)^4+'IS &amp; FCF'!I35/(1+$A10)^5+('IS &amp; FCF'!I35*(1+E$6)/($A10-E$6))/(1+$A10)^5-Assumptions!$B$37-Assumptions!$B$38)/Assumptions!$B$39*1000)</f>
        <v>201930.13538163417</v>
      </c>
      <c r="F10" s="47">
        <f>IF($A10&lt;=F$6,"N/A",('IS &amp; FCF'!E35/(1+$A10)^1+'IS &amp; FCF'!F35/(1+$A10)^2+'IS &amp; FCF'!G35/(1+$A10)^3+'IS &amp; FCF'!H35/(1+$A10)^4+'IS &amp; FCF'!I35/(1+$A10)^5+('IS &amp; FCF'!I35*(1+F$6)/($A10-F$6))/(1+$A10)^5-Assumptions!$B$37-Assumptions!$B$38)/Assumptions!$B$39*1000)</f>
        <v>224019.37819028069</v>
      </c>
      <c r="G10" s="47">
        <f>IF($A10&lt;=G$6,"N/A",('IS &amp; FCF'!E35/(1+$A10)^1+'IS &amp; FCF'!F35/(1+$A10)^2+'IS &amp; FCF'!G35/(1+$A10)^3+'IS &amp; FCF'!H35/(1+$A10)^4+'IS &amp; FCF'!I35/(1+$A10)^5+('IS &amp; FCF'!I35*(1+G$6)/($A10-G$6))/(1+$A10)^5-Assumptions!$B$37-Assumptions!$B$38)/Assumptions!$B$39*1000)</f>
        <v>252419.83322996908</v>
      </c>
      <c r="H10" s="47">
        <f>IF($A10&lt;=H$6,"N/A",('IS &amp; FCF'!E35/(1+$A10)^1+'IS &amp; FCF'!F35/(1+$A10)^2+'IS &amp; FCF'!G35/(1+$A10)^3+'IS &amp; FCF'!H35/(1+$A10)^4+'IS &amp; FCF'!I35/(1+$A10)^5+('IS &amp; FCF'!I35*(1+H$6)/($A10-H$6))/(1+$A10)^5-Assumptions!$B$37-Assumptions!$B$38)/Assumptions!$B$39*1000)</f>
        <v>290287.1066162202</v>
      </c>
    </row>
    <row r="11" spans="1:8" ht="19.5" customHeight="1" x14ac:dyDescent="0.2">
      <c r="A11" s="27">
        <v>7.4999999999999997E-2</v>
      </c>
      <c r="B11" s="61" t="s">
        <v>141</v>
      </c>
      <c r="C11" s="47">
        <f>IF($A11&lt;=C$6,"N/A",('IS &amp; FCF'!E35/(1+$A11)^1+'IS &amp; FCF'!F35/(1+$A11)^2+'IS &amp; FCF'!G35/(1+$A11)^3+'IS &amp; FCF'!H35/(1+$A11)^4+'IS &amp; FCF'!I35/(1+$A11)^5+('IS &amp; FCF'!I35*(1+C$6)/($A11-C$6))/(1+$A11)^5-Assumptions!$B$37-Assumptions!$B$38)/Assumptions!$B$39*1000)</f>
        <v>154963.10170908534</v>
      </c>
      <c r="D11" s="47">
        <f>IF($A11&lt;=D$6,"N/A",('IS &amp; FCF'!E35/(1+$A11)^1+'IS &amp; FCF'!F35/(1+$A11)^2+'IS &amp; FCF'!G35/(1+$A11)^3+'IS &amp; FCF'!H35/(1+$A11)^4+'IS &amp; FCF'!I35/(1+$A11)^5+('IS &amp; FCF'!I35*(1+D$6)/($A11-D$6))/(1+$A11)^5-Assumptions!$B$37-Assumptions!$B$38)/Assumptions!$B$39*1000)</f>
        <v>166789.17722886091</v>
      </c>
      <c r="E11" s="47">
        <f>IF($A11&lt;=E$6,"N/A",('IS &amp; FCF'!E35/(1+$A11)^1+'IS &amp; FCF'!F35/(1+$A11)^2+'IS &amp; FCF'!G35/(1+$A11)^3+'IS &amp; FCF'!H35/(1+$A11)^4+'IS &amp; FCF'!I35/(1+$A11)^5+('IS &amp; FCF'!I35*(1+E$6)/($A11-E$6))/(1+$A11)^5-Assumptions!$B$37-Assumptions!$B$38)/Assumptions!$B$39*1000)</f>
        <v>180980.46785259145</v>
      </c>
      <c r="F11" s="47">
        <f>IF($A11&lt;=F$6,"N/A",('IS &amp; FCF'!E35/(1+$A11)^1+'IS &amp; FCF'!F35/(1+$A11)^2+'IS &amp; FCF'!G35/(1+$A11)^3+'IS &amp; FCF'!H35/(1+$A11)^4+'IS &amp; FCF'!I35/(1+$A11)^5+('IS &amp; FCF'!I35*(1+F$6)/($A11-F$6))/(1+$A11)^5-Assumptions!$B$37-Assumptions!$B$38)/Assumptions!$B$39*1000)</f>
        <v>198325.37861492884</v>
      </c>
      <c r="G11" s="47">
        <f>IF($A11&lt;=G$6,"N/A",('IS &amp; FCF'!E35/(1+$A11)^1+'IS &amp; FCF'!F35/(1+$A11)^2+'IS &amp; FCF'!G35/(1+$A11)^3+'IS &amp; FCF'!H35/(1+$A11)^4+'IS &amp; FCF'!I35/(1+$A11)^5+('IS &amp; FCF'!I35*(1+G$6)/($A11-G$6))/(1+$A11)^5-Assumptions!$B$37-Assumptions!$B$38)/Assumptions!$B$39*1000)</f>
        <v>220006.5170678506</v>
      </c>
      <c r="H11" s="47">
        <f>IF($A11&lt;=H$6,"N/A",('IS &amp; FCF'!E35/(1+$A11)^1+'IS &amp; FCF'!F35/(1+$A11)^2+'IS &amp; FCF'!G35/(1+$A11)^3+'IS &amp; FCF'!H35/(1+$A11)^4+'IS &amp; FCF'!I35/(1+$A11)^5+('IS &amp; FCF'!I35*(1+H$6)/($A11-H$6))/(1+$A11)^5-Assumptions!$B$37-Assumptions!$B$38)/Assumptions!$B$39*1000)</f>
        <v>247882.26650732147</v>
      </c>
    </row>
    <row r="12" spans="1:8" ht="19.5" customHeight="1" x14ac:dyDescent="0.2">
      <c r="A12" s="27">
        <v>0.08</v>
      </c>
      <c r="B12" s="61" t="s">
        <v>141</v>
      </c>
      <c r="C12" s="47">
        <f>IF($A12&lt;=C$6,"N/A",('IS &amp; FCF'!E35/(1+$A12)^1+'IS &amp; FCF'!F35/(1+$A12)^2+'IS &amp; FCF'!G35/(1+$A12)^3+'IS &amp; FCF'!H35/(1+$A12)^4+'IS &amp; FCF'!I35/(1+$A12)^5+('IS &amp; FCF'!I35*(1+C$6)/($A12-C$6))/(1+$A12)^5-Assumptions!$B$37-Assumptions!$B$38)/Assumptions!$B$39*1000)</f>
        <v>142414.4494174963</v>
      </c>
      <c r="D12" s="47">
        <f>IF($A12&lt;=D$6,"N/A",('IS &amp; FCF'!E35/(1+$A12)^1+'IS &amp; FCF'!F35/(1+$A12)^2+'IS &amp; FCF'!G35/(1+$A12)^3+'IS &amp; FCF'!H35/(1+$A12)^4+'IS &amp; FCF'!I35/(1+$A12)^5+('IS &amp; FCF'!I35*(1+D$6)/($A12-D$6))/(1+$A12)^5-Assumptions!$B$37-Assumptions!$B$38)/Assumptions!$B$39*1000)</f>
        <v>152237.10272777104</v>
      </c>
      <c r="E12" s="47">
        <f>IF($A12&lt;=E$6,"N/A",('IS &amp; FCF'!E35/(1+$A12)^1+'IS &amp; FCF'!F35/(1+$A12)^2+'IS &amp; FCF'!G35/(1+$A12)^3+'IS &amp; FCF'!H35/(1+$A12)^4+'IS &amp; FCF'!I35/(1+$A12)^5+('IS &amp; FCF'!I35*(1+E$6)/($A12-E$6))/(1+$A12)^5-Assumptions!$B$37-Assumptions!$B$38)/Assumptions!$B$39*1000)</f>
        <v>163845.69300355023</v>
      </c>
      <c r="F12" s="47">
        <f>IF($A12&lt;=F$6,"N/A",('IS &amp; FCF'!E35/(1+$A12)^1+'IS &amp; FCF'!F35/(1+$A12)^2+'IS &amp; FCF'!G35/(1+$A12)^3+'IS &amp; FCF'!H35/(1+$A12)^4+'IS &amp; FCF'!I35/(1+$A12)^5+('IS &amp; FCF'!I35*(1+F$6)/($A12-F$6))/(1+$A12)^5-Assumptions!$B$37-Assumptions!$B$38)/Assumptions!$B$39*1000)</f>
        <v>177776.00133448525</v>
      </c>
      <c r="G12" s="47">
        <f>IF($A12&lt;=G$6,"N/A",('IS &amp; FCF'!E35/(1+$A12)^1+'IS &amp; FCF'!F35/(1+$A12)^2+'IS &amp; FCF'!G35/(1+$A12)^3+'IS &amp; FCF'!H35/(1+$A12)^4+'IS &amp; FCF'!I35/(1+$A12)^5+('IS &amp; FCF'!I35*(1+G$6)/($A12-G$6))/(1+$A12)^5-Assumptions!$B$37-Assumptions!$B$38)/Assumptions!$B$39*1000)</f>
        <v>194801.93373896135</v>
      </c>
      <c r="H12" s="47">
        <f>IF($A12&lt;=H$6,"N/A",('IS &amp; FCF'!E35/(1+$A12)^1+'IS &amp; FCF'!F35/(1+$A12)^2+'IS &amp; FCF'!G35/(1+$A12)^3+'IS &amp; FCF'!H35/(1+$A12)^4+'IS &amp; FCF'!I35/(1+$A12)^5+('IS &amp; FCF'!I35*(1+H$6)/($A12-H$6))/(1+$A12)^5-Assumptions!$B$37-Assumptions!$B$38)/Assumptions!$B$39*1000)</f>
        <v>216084.34924455656</v>
      </c>
    </row>
    <row r="13" spans="1:8" ht="19.5" customHeight="1" x14ac:dyDescent="0.2">
      <c r="A13" s="27">
        <v>8.5000000000000006E-2</v>
      </c>
      <c r="B13" s="61" t="s">
        <v>141</v>
      </c>
      <c r="C13" s="47">
        <f>IF($A13&lt;=C$6,"N/A",('IS &amp; FCF'!E35/(1+$A13)^1+'IS &amp; FCF'!F35/(1+$A13)^2+'IS &amp; FCF'!G35/(1+$A13)^3+'IS &amp; FCF'!H35/(1+$A13)^4+'IS &amp; FCF'!I35/(1+$A13)^5+('IS &amp; FCF'!I35*(1+C$6)/($A13-C$6))/(1+$A13)^5-Assumptions!$B$37-Assumptions!$B$38)/Assumptions!$B$39*1000)</f>
        <v>131663.82834791703</v>
      </c>
      <c r="D13" s="47">
        <f>IF($A13&lt;=D$6,"N/A",('IS &amp; FCF'!E35/(1+$A13)^1+'IS &amp; FCF'!F35/(1+$A13)^2+'IS &amp; FCF'!G35/(1+$A13)^3+'IS &amp; FCF'!H35/(1+$A13)^4+'IS &amp; FCF'!I35/(1+$A13)^5+('IS &amp; FCF'!I35*(1+D$6)/($A13-D$6))/(1+$A13)^5-Assumptions!$B$37-Assumptions!$B$38)/Assumptions!$B$39*1000)</f>
        <v>139929.1183377527</v>
      </c>
      <c r="E13" s="47">
        <f>IF($A13&lt;=E$6,"N/A",('IS &amp; FCF'!E35/(1+$A13)^1+'IS &amp; FCF'!F35/(1+$A13)^2+'IS &amp; FCF'!G35/(1+$A13)^3+'IS &amp; FCF'!H35/(1+$A13)^4+'IS &amp; FCF'!I35/(1+$A13)^5+('IS &amp; FCF'!I35*(1+E$6)/($A13-E$6))/(1+$A13)^5-Assumptions!$B$37-Assumptions!$B$38)/Assumptions!$B$39*1000)</f>
        <v>149571.95665922761</v>
      </c>
      <c r="F13" s="47">
        <f>IF($A13&lt;=F$6,"N/A",('IS &amp; FCF'!E35/(1+$A13)^1+'IS &amp; FCF'!F35/(1+$A13)^2+'IS &amp; FCF'!G35/(1+$A13)^3+'IS &amp; FCF'!H35/(1+$A13)^4+'IS &amp; FCF'!I35/(1+$A13)^5+('IS &amp; FCF'!I35*(1+F$6)/($A13-F$6))/(1+$A13)^5-Assumptions!$B$37-Assumptions!$B$38)/Assumptions!$B$39*1000)</f>
        <v>160968.03831187979</v>
      </c>
      <c r="G13" s="47">
        <f>IF($A13&lt;=G$6,"N/A",('IS &amp; FCF'!E35/(1+$A13)^1+'IS &amp; FCF'!F35/(1+$A13)^2+'IS &amp; FCF'!G35/(1+$A13)^3+'IS &amp; FCF'!H35/(1+$A13)^4+'IS &amp; FCF'!I35/(1+$A13)^5+('IS &amp; FCF'!I35*(1+G$6)/($A13-G$6))/(1+$A13)^5-Assumptions!$B$37-Assumptions!$B$38)/Assumptions!$B$39*1000)</f>
        <v>174643.33629506236</v>
      </c>
      <c r="H13" s="47">
        <f>IF($A13&lt;=H$6,"N/A",('IS &amp; FCF'!E35/(1+$A13)^1+'IS &amp; FCF'!F35/(1+$A13)^2+'IS &amp; FCF'!G35/(1+$A13)^3+'IS &amp; FCF'!H35/(1+$A13)^4+'IS &amp; FCF'!I35/(1+$A13)^5+('IS &amp; FCF'!I35*(1+H$6)/($A13-H$6))/(1+$A13)^5-Assumptions!$B$37-Assumptions!$B$38)/Assumptions!$B$39*1000)</f>
        <v>191357.58938561886</v>
      </c>
    </row>
    <row r="14" spans="1:8" ht="19.5" customHeight="1" x14ac:dyDescent="0.2">
      <c r="A14" s="27">
        <v>0.09</v>
      </c>
      <c r="B14" s="61" t="s">
        <v>141</v>
      </c>
      <c r="C14" s="47">
        <f>IF($A14&lt;=C$6,"N/A",('IS &amp; FCF'!E35/(1+$A14)^1+'IS &amp; FCF'!F35/(1+$A14)^2+'IS &amp; FCF'!G35/(1+$A14)^3+'IS &amp; FCF'!H35/(1+$A14)^4+'IS &amp; FCF'!I35/(1+$A14)^5+('IS &amp; FCF'!I35*(1+C$6)/($A14-C$6))/(1+$A14)^5-Assumptions!$B$37-Assumptions!$B$38)/Assumptions!$B$39*1000)</f>
        <v>122351.51105776677</v>
      </c>
      <c r="D14" s="47">
        <f>IF($A14&lt;=D$6,"N/A",('IS &amp; FCF'!E35/(1+$A14)^1+'IS &amp; FCF'!F35/(1+$A14)^2+'IS &amp; FCF'!G35/(1+$A14)^3+'IS &amp; FCF'!H35/(1+$A14)^4+'IS &amp; FCF'!I35/(1+$A14)^5+('IS &amp; FCF'!I35*(1+D$6)/($A14-D$6))/(1+$A14)^5-Assumptions!$B$37-Assumptions!$B$38)/Assumptions!$B$39*1000)</f>
        <v>129384.22819046974</v>
      </c>
      <c r="E14" s="47">
        <f>IF($A14&lt;=E$6,"N/A",('IS &amp; FCF'!E35/(1+$A14)^1+'IS &amp; FCF'!F35/(1+$A14)^2+'IS &amp; FCF'!G35/(1+$A14)^3+'IS &amp; FCF'!H35/(1+$A14)^4+'IS &amp; FCF'!I35/(1+$A14)^5+('IS &amp; FCF'!I35*(1+E$6)/($A14-E$6))/(1+$A14)^5-Assumptions!$B$37-Assumptions!$B$38)/Assumptions!$B$39*1000)</f>
        <v>137498.90180512698</v>
      </c>
      <c r="F14" s="47">
        <f>IF($A14&lt;=F$6,"N/A",('IS &amp; FCF'!E35/(1+$A14)^1+'IS &amp; FCF'!F35/(1+$A14)^2+'IS &amp; FCF'!G35/(1+$A14)^3+'IS &amp; FCF'!H35/(1+$A14)^4+'IS &amp; FCF'!I35/(1+$A14)^5+('IS &amp; FCF'!I35*(1+F$6)/($A14-F$6))/(1+$A14)^5-Assumptions!$B$37-Assumptions!$B$38)/Assumptions!$B$39*1000)</f>
        <v>146966.02102222716</v>
      </c>
      <c r="G14" s="47">
        <f>IF($A14&lt;=G$6,"N/A",('IS &amp; FCF'!E35/(1+$A14)^1+'IS &amp; FCF'!F35/(1+$A14)^2+'IS &amp; FCF'!G35/(1+$A14)^3+'IS &amp; FCF'!H35/(1+$A14)^4+'IS &amp; FCF'!I35/(1+$A14)^5+('IS &amp; FCF'!I35*(1+G$6)/($A14-G$6))/(1+$A14)^5-Assumptions!$B$37-Assumptions!$B$38)/Assumptions!$B$39*1000)</f>
        <v>158154.43464243642</v>
      </c>
      <c r="H14" s="47">
        <f>IF($A14&lt;=H$6,"N/A",('IS &amp; FCF'!E35/(1+$A14)^1+'IS &amp; FCF'!F35/(1+$A14)^2+'IS &amp; FCF'!G35/(1+$A14)^3+'IS &amp; FCF'!H35/(1+$A14)^4+'IS &amp; FCF'!I35/(1+$A14)^5+('IS &amp; FCF'!I35*(1+H$6)/($A14-H$6))/(1+$A14)^5-Assumptions!$B$37-Assumptions!$B$38)/Assumptions!$B$39*1000)</f>
        <v>171580.53098668755</v>
      </c>
    </row>
    <row r="15" spans="1:8" ht="19.5" customHeight="1" x14ac:dyDescent="0.2">
      <c r="A15" s="27">
        <v>9.5000000000000001E-2</v>
      </c>
      <c r="B15" s="61" t="s">
        <v>141</v>
      </c>
      <c r="C15" s="47">
        <f>IF($A15&lt;=C$6,"N/A",('IS &amp; FCF'!E35/(1+$A15)^1+'IS &amp; FCF'!F35/(1+$A15)^2+'IS &amp; FCF'!G35/(1+$A15)^3+'IS &amp; FCF'!H35/(1+$A15)^4+'IS &amp; FCF'!I35/(1+$A15)^5+('IS &amp; FCF'!I35*(1+C$6)/($A15-C$6))/(1+$A15)^5-Assumptions!$B$37-Assumptions!$B$38)/Assumptions!$B$39*1000)</f>
        <v>114207.70529503559</v>
      </c>
      <c r="D15" s="47">
        <f>IF($A15&lt;=D$6,"N/A",('IS &amp; FCF'!E35/(1+$A15)^1+'IS &amp; FCF'!F35/(1+$A15)^2+'IS &amp; FCF'!G35/(1+$A15)^3+'IS &amp; FCF'!H35/(1+$A15)^4+'IS &amp; FCF'!I35/(1+$A15)^5+('IS &amp; FCF'!I35*(1+D$6)/($A15-D$6))/(1+$A15)^5-Assumptions!$B$37-Assumptions!$B$38)/Assumptions!$B$39*1000)</f>
        <v>120249.70525161247</v>
      </c>
      <c r="E15" s="47">
        <f>IF($A15&lt;=E$6,"N/A",('IS &amp; FCF'!E35/(1+$A15)^1+'IS &amp; FCF'!F35/(1+$A15)^2+'IS &amp; FCF'!G35/(1+$A15)^3+'IS &amp; FCF'!H35/(1+$A15)^4+'IS &amp; FCF'!I35/(1+$A15)^5+('IS &amp; FCF'!I35*(1+E$6)/($A15-E$6))/(1+$A15)^5-Assumptions!$B$37-Assumptions!$B$38)/Assumptions!$B$39*1000)</f>
        <v>127154.84805912888</v>
      </c>
      <c r="F15" s="47">
        <f>IF($A15&lt;=F$6,"N/A",('IS &amp; FCF'!E35/(1+$A15)^1+'IS &amp; FCF'!F35/(1+$A15)^2+'IS &amp; FCF'!G35/(1+$A15)^3+'IS &amp; FCF'!H35/(1+$A15)^4+'IS &amp; FCF'!I35/(1+$A15)^5+('IS &amp; FCF'!I35*(1+F$6)/($A15-F$6))/(1+$A15)^5-Assumptions!$B$37-Assumptions!$B$38)/Assumptions!$B$39*1000)</f>
        <v>135122.32052934013</v>
      </c>
      <c r="G15" s="47">
        <f>IF($A15&lt;=G$6,"N/A",('IS &amp; FCF'!E35/(1+$A15)^1+'IS &amp; FCF'!F35/(1+$A15)^2+'IS &amp; FCF'!G35/(1+$A15)^3+'IS &amp; FCF'!H35/(1+$A15)^4+'IS &amp; FCF'!I35/(1+$A15)^5+('IS &amp; FCF'!I35*(1+G$6)/($A15-G$6))/(1+$A15)^5-Assumptions!$B$37-Assumptions!$B$38)/Assumptions!$B$39*1000)</f>
        <v>144417.70507791993</v>
      </c>
      <c r="H15" s="47">
        <f>IF($A15&lt;=H$6,"N/A",('IS &amp; FCF'!E35/(1+$A15)^1+'IS &amp; FCF'!F35/(1+$A15)^2+'IS &amp; FCF'!G35/(1+$A15)^3+'IS &amp; FCF'!H35/(1+$A15)^4+'IS &amp; FCF'!I35/(1+$A15)^5+('IS &amp; FCF'!I35*(1+H$6)/($A15-H$6))/(1+$A15)^5-Assumptions!$B$37-Assumptions!$B$38)/Assumptions!$B$39*1000)</f>
        <v>155403.15954442334</v>
      </c>
    </row>
    <row r="16" spans="1:8" ht="19.5" customHeight="1" x14ac:dyDescent="0.2">
      <c r="A16" s="27">
        <v>0.1</v>
      </c>
      <c r="B16" s="61" t="s">
        <v>141</v>
      </c>
      <c r="C16" s="47">
        <f>IF($A16&lt;=C$6,"N/A",('IS &amp; FCF'!E35/(1+$A16)^1+'IS &amp; FCF'!F35/(1+$A16)^2+'IS &amp; FCF'!G35/(1+$A16)^3+'IS &amp; FCF'!H35/(1+$A16)^4+'IS &amp; FCF'!I35/(1+$A16)^5+('IS &amp; FCF'!I35*(1+C$6)/($A16-C$6))/(1+$A16)^5-Assumptions!$B$37-Assumptions!$B$38)/Assumptions!$B$39*1000)</f>
        <v>107026.10236465608</v>
      </c>
      <c r="D16" s="47">
        <f>IF($A16&lt;=D$6,"N/A",('IS &amp; FCF'!E35/(1+$A16)^1+'IS &amp; FCF'!F35/(1+$A16)^2+'IS &amp; FCF'!G35/(1+$A16)^3+'IS &amp; FCF'!H35/(1+$A16)^4+'IS &amp; FCF'!I35/(1+$A16)^5+('IS &amp; FCF'!I35*(1+D$6)/($A16-D$6))/(1+$A16)^5-Assumptions!$B$37-Assumptions!$B$38)/Assumptions!$B$39*1000)</f>
        <v>112261.00720556329</v>
      </c>
      <c r="E16" s="47">
        <f>IF($A16&lt;=E$6,"N/A",('IS &amp; FCF'!E35/(1+$A16)^1+'IS &amp; FCF'!F35/(1+$A16)^2+'IS &amp; FCF'!G35/(1+$A16)^3+'IS &amp; FCF'!H35/(1+$A16)^4+'IS &amp; FCF'!I35/(1+$A16)^5+('IS &amp; FCF'!I35*(1+E$6)/($A16-E$6))/(1+$A16)^5-Assumptions!$B$37-Assumptions!$B$38)/Assumptions!$B$39*1000)</f>
        <v>118193.89935859143</v>
      </c>
      <c r="F16" s="47">
        <f>IF($A16&lt;=F$6,"N/A",('IS &amp; FCF'!E35/(1+$A16)^1+'IS &amp; FCF'!F35/(1+$A16)^2+'IS &amp; FCF'!G35/(1+$A16)^3+'IS &amp; FCF'!H35/(1+$A16)^4+'IS &amp; FCF'!I35/(1+$A16)^5+('IS &amp; FCF'!I35*(1+F$6)/($A16-F$6))/(1+$A16)^5-Assumptions!$B$37-Assumptions!$B$38)/Assumptions!$B$39*1000)</f>
        <v>124974.34753348074</v>
      </c>
      <c r="G16" s="47">
        <f>IF($A16&lt;=G$6,"N/A",('IS &amp; FCF'!E35/(1+$A16)^1+'IS &amp; FCF'!F35/(1+$A16)^2+'IS &amp; FCF'!G35/(1+$A16)^3+'IS &amp; FCF'!H35/(1+$A16)^4+'IS &amp; FCF'!I35/(1+$A16)^5+('IS &amp; FCF'!I35*(1+G$6)/($A16-G$6))/(1+$A16)^5-Assumptions!$B$37-Assumptions!$B$38)/Assumptions!$B$39*1000)</f>
        <v>132797.94158142994</v>
      </c>
      <c r="H16" s="47">
        <f>IF($A16&lt;=H$6,"N/A",('IS &amp; FCF'!E35/(1+$A16)^1+'IS &amp; FCF'!F35/(1+$A16)^2+'IS &amp; FCF'!G35/(1+$A16)^3+'IS &amp; FCF'!H35/(1+$A16)^4+'IS &amp; FCF'!I35/(1+$A16)^5+('IS &amp; FCF'!I35*(1+H$6)/($A16-H$6))/(1+$A16)^5-Assumptions!$B$37-Assumptions!$B$38)/Assumptions!$B$39*1000)</f>
        <v>141925.46797070402</v>
      </c>
    </row>
    <row r="18" spans="1:8" ht="13.5" customHeight="1" x14ac:dyDescent="0.2">
      <c r="A18" s="63" t="s">
        <v>142</v>
      </c>
    </row>
    <row r="20" spans="1:8" x14ac:dyDescent="0.2">
      <c r="A20" s="3" t="s">
        <v>143</v>
      </c>
      <c r="B20" s="3"/>
      <c r="C20" s="3"/>
      <c r="D20" s="3"/>
      <c r="E20" s="3"/>
      <c r="F20" s="3"/>
      <c r="G20" s="3"/>
      <c r="H20" s="3"/>
    </row>
    <row r="21" spans="1:8" ht="18" customHeight="1" x14ac:dyDescent="0.2">
      <c r="A21" s="22" t="s">
        <v>144</v>
      </c>
      <c r="B21" s="49">
        <f>Assumptions!B35</f>
        <v>28500</v>
      </c>
    </row>
    <row r="22" spans="1:8" ht="18" customHeight="1" x14ac:dyDescent="0.2">
      <c r="A22" s="22" t="s">
        <v>145</v>
      </c>
      <c r="B22" s="49">
        <f>Assumptions!B38</f>
        <v>1200</v>
      </c>
    </row>
    <row r="23" spans="1:8" ht="18" customHeight="1" x14ac:dyDescent="0.2">
      <c r="A23" s="22" t="s">
        <v>146</v>
      </c>
      <c r="B23" s="42">
        <f>'DCF Valuation'!B21</f>
        <v>0.65922822131578707</v>
      </c>
    </row>
    <row r="24" spans="1:8" ht="18" customHeight="1" x14ac:dyDescent="0.2">
      <c r="A24" s="22" t="s">
        <v>147</v>
      </c>
      <c r="B24" s="42">
        <f>'DCF Valuation'!B22</f>
        <v>5.8520705334634143E-20</v>
      </c>
    </row>
    <row r="25" spans="1:8" ht="18" customHeight="1" x14ac:dyDescent="0.2">
      <c r="A25" s="22" t="s">
        <v>148</v>
      </c>
      <c r="B25" s="42">
        <f>'DCF Valuation'!B23</f>
        <v>0.65922822131578707</v>
      </c>
    </row>
    <row r="26" spans="1:8" ht="18" customHeight="1" x14ac:dyDescent="0.2">
      <c r="A26" s="22" t="s">
        <v>149</v>
      </c>
      <c r="B26" s="54">
        <f>'DCF Valuation'!B28</f>
        <v>-4124.7253215744522</v>
      </c>
    </row>
    <row r="27" spans="1:8" ht="18" customHeight="1" x14ac:dyDescent="0.2">
      <c r="A27" s="22" t="s">
        <v>62</v>
      </c>
      <c r="B27" s="54">
        <f>Assumptions!B40</f>
        <v>157</v>
      </c>
    </row>
    <row r="28" spans="1:8" ht="18" customHeight="1" x14ac:dyDescent="0.2">
      <c r="A28" s="22" t="s">
        <v>150</v>
      </c>
      <c r="B28" s="26">
        <f>'DCF Valuation'!B30</f>
        <v>-27.272135806206702</v>
      </c>
    </row>
  </sheetData>
  <mergeCells count="4">
    <mergeCell ref="A1:H1"/>
    <mergeCell ref="A3:H3"/>
    <mergeCell ref="A5:H5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Assumptions</vt:lpstr>
      <vt:lpstr>IS &amp; FCF</vt:lpstr>
      <vt:lpstr>DCF Valuation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Varun Baid</cp:lastModifiedBy>
  <cp:revision>0</cp:revision>
  <dcterms:created xsi:type="dcterms:W3CDTF">2026-04-07T05:00:32Z</dcterms:created>
  <dcterms:modified xsi:type="dcterms:W3CDTF">2026-04-07T05:16:10Z</dcterms:modified>
  <dc:language>en-US</dc:language>
</cp:coreProperties>
</file>