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aw Data" sheetId="2" state="visible" r:id="rId4"/>
    <sheet name="Trading Multiples" sheetId="3" state="visible" r:id="rId5"/>
    <sheet name="Valuation Summary" sheetId="4" state="visible" r:id="rId6"/>
    <sheet name="Chart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<sst xmlns="http://schemas.openxmlformats.org/spreadsheetml/2006/main" count="204" uniqueCount="148">
  <si>
    <t xml:space="preserve">MAJOR U.S. BANKS
Comparable Company Analysis (Comps)</t>
  </si>
  <si>
    <t xml:space="preserve">Trading Comps  |  8-Bank Peer Group  |  Portfolio Financial Model  |  April 2026</t>
  </si>
  <si>
    <t xml:space="preserve">PEER GROUP</t>
  </si>
  <si>
    <t xml:space="preserve">JPM</t>
  </si>
  <si>
    <t xml:space="preserve">JPMorgan Chase</t>
  </si>
  <si>
    <t xml:space="preserve">BAC</t>
  </si>
  <si>
    <t xml:space="preserve">Bank of America</t>
  </si>
  <si>
    <t xml:space="preserve">WFC</t>
  </si>
  <si>
    <t xml:space="preserve">Wells Fargo</t>
  </si>
  <si>
    <t xml:space="preserve">GS</t>
  </si>
  <si>
    <t xml:space="preserve">Goldman Sachs</t>
  </si>
  <si>
    <t xml:space="preserve">MS</t>
  </si>
  <si>
    <t xml:space="preserve">Morgan Stanley</t>
  </si>
  <si>
    <t xml:space="preserve">C</t>
  </si>
  <si>
    <t xml:space="preserve">Citigroup</t>
  </si>
  <si>
    <t xml:space="preserve">USB</t>
  </si>
  <si>
    <t xml:space="preserve">U.S. Bancorp</t>
  </si>
  <si>
    <t xml:space="preserve">TFC</t>
  </si>
  <si>
    <t xml:space="preserve">Truist Financial</t>
  </si>
  <si>
    <t xml:space="preserve">For portfolio / informational purposes only. Not investment advice. Market data approximate as of April 2026. Financial data sourced from FY2024 10-K filings and consensus estimates.</t>
  </si>
  <si>
    <t xml:space="preserve">Blue</t>
  </si>
  <si>
    <t xml:space="preserve">Hardcoded input</t>
  </si>
  <si>
    <t xml:space="preserve">Black</t>
  </si>
  <si>
    <t xml:space="preserve">Formula / calculated</t>
  </si>
  <si>
    <t xml:space="preserve">Green</t>
  </si>
  <si>
    <t xml:space="preserve">Cross-sheet ref</t>
  </si>
  <si>
    <t xml:space="preserve">RAW DATA — Comparable Company Analysis  ($M unless noted)</t>
  </si>
  <si>
    <t xml:space="preserve">Metric</t>
  </si>
  <si>
    <t xml:space="preserve">Mean</t>
  </si>
  <si>
    <t xml:space="preserve">Median</t>
  </si>
  <si>
    <t xml:space="preserve">Min</t>
  </si>
  <si>
    <t xml:space="preserve">Max</t>
  </si>
  <si>
    <t xml:space="preserve">Notes / Source</t>
  </si>
  <si>
    <t xml:space="preserve">MARKET DATA</t>
  </si>
  <si>
    <t xml:space="preserve">  Share Price ($)</t>
  </si>
  <si>
    <t xml:space="preserve">Source: Market price approx. Apr 2026</t>
  </si>
  <si>
    <t xml:space="preserve">  Shares Outstanding (M)</t>
  </si>
  <si>
    <t xml:space="preserve">Source: FY2024 10-K diluted shares</t>
  </si>
  <si>
    <t xml:space="preserve">  Market Cap ($M)</t>
  </si>
  <si>
    <t xml:space="preserve">Calc: Price x Shares / 1000</t>
  </si>
  <si>
    <t xml:space="preserve">  Total Debt ($M)</t>
  </si>
  <si>
    <t xml:space="preserve">Note: For banks, debt = long-term borrowings (not deposits)</t>
  </si>
  <si>
    <t xml:space="preserve">  Cash &amp; Equivalents ($M)</t>
  </si>
  <si>
    <t xml:space="preserve">Note: Included in balance sheet; simplified for EV calc</t>
  </si>
  <si>
    <t xml:space="preserve">  Enterprise Value ($M)</t>
  </si>
  <si>
    <t xml:space="preserve">Calc: Market Cap + Total Debt - Cash (simplified)</t>
  </si>
  <si>
    <t xml:space="preserve">INCOME STATEMENT (FY2024A)</t>
  </si>
  <si>
    <t xml:space="preserve">  Net Revenue ($M)</t>
  </si>
  <si>
    <t xml:space="preserve">Source: FY2024 10-K total net revenue</t>
  </si>
  <si>
    <t xml:space="preserve">  Net Income ($M)</t>
  </si>
  <si>
    <t xml:space="preserve">Source: FY2024 10-K net income to common</t>
  </si>
  <si>
    <t xml:space="preserve">  EPS — FY2024A ($)</t>
  </si>
  <si>
    <t xml:space="preserve">Source: FY2024 10-K diluted EPS</t>
  </si>
  <si>
    <t xml:space="preserve">  EPS — FY2025E ($)</t>
  </si>
  <si>
    <t xml:space="preserve">Source: Bloomberg consensus estimates, Apr 2026</t>
  </si>
  <si>
    <t xml:space="preserve">  EPS — FY2026E ($)</t>
  </si>
  <si>
    <t xml:space="preserve">Source: Bloomberg consensus; ~8% average growth implied</t>
  </si>
  <si>
    <t xml:space="preserve">BALANCE SHEET &amp; PER SHARE (FY2024A)</t>
  </si>
  <si>
    <t xml:space="preserve">  Book Value per Share ($)</t>
  </si>
  <si>
    <t xml:space="preserve">Source: FY2024 10-K total equity / diluted shares</t>
  </si>
  <si>
    <t xml:space="preserve">  Tangible Book Value/Share ($)</t>
  </si>
  <si>
    <t xml:space="preserve">Source: FY2024 10-K; TBV excl. goodwill &amp; intangibles</t>
  </si>
  <si>
    <t xml:space="preserve">  Dividends per Share ($)</t>
  </si>
  <si>
    <t xml:space="preserve">Estimated; ~2-3% yield on approx. prices</t>
  </si>
  <si>
    <t xml:space="preserve">PROFITABILITY &amp; EFFICIENCY (FY2024A)</t>
  </si>
  <si>
    <t xml:space="preserve">  Return on Avg. Equity (ROAE %)</t>
  </si>
  <si>
    <t xml:space="preserve">Source: FY2024 10-K; Net Income / Avg Common Equity</t>
  </si>
  <si>
    <t xml:space="preserve">  Return on Avg. Tang. Common Eq. (%)</t>
  </si>
  <si>
    <t xml:space="preserve">Source: FY2024 10-K; preferred by analysts</t>
  </si>
  <si>
    <t xml:space="preserve">  Efficiency Ratio (%)</t>
  </si>
  <si>
    <t xml:space="preserve">Source: FY2024 10-K; Non-Int Exp / Net Revenue (lower=better)</t>
  </si>
  <si>
    <t xml:space="preserve">  Net Interest Margin (%)</t>
  </si>
  <si>
    <t xml:space="preserve">N/A</t>
  </si>
  <si>
    <t xml:space="preserve">Source: FY2024 10-K; NIM on interest-earning assets</t>
  </si>
  <si>
    <t xml:space="preserve">  CET1 Ratio (%)</t>
  </si>
  <si>
    <t xml:space="preserve">Source: FY2024 10-K; Common Equity Tier 1 capital ratio</t>
  </si>
  <si>
    <t xml:space="preserve">TRADING MULTIPLES — Major U.S. Banks  (Sourced from Raw Data)</t>
  </si>
  <si>
    <t xml:space="preserve">Multiple</t>
  </si>
  <si>
    <t xml:space="preserve">Formula / Commentary</t>
  </si>
  <si>
    <t xml:space="preserve">EARNINGS-BASED MULTIPLES (Primary for Banks)</t>
  </si>
  <si>
    <t xml:space="preserve">  P/E — FY2024A (x)</t>
  </si>
  <si>
    <t xml:space="preserve">Price / EPS FY2024A</t>
  </si>
  <si>
    <t xml:space="preserve">  P/E — FY2025E (x)</t>
  </si>
  <si>
    <t xml:space="preserve">Price / EPS FY2025E  [Primary valuation metric for banks]</t>
  </si>
  <si>
    <t xml:space="preserve">  P/E — FY2026E (x)</t>
  </si>
  <si>
    <t xml:space="preserve">Price / EPS FY2026E</t>
  </si>
  <si>
    <t xml:space="preserve">  EPS Growth FY24A→25E (%)</t>
  </si>
  <si>
    <t xml:space="preserve">1-yr EPS growth rate — drives PEG</t>
  </si>
  <si>
    <t xml:space="preserve">BOOK VALUE MULTIPLES (Key for Banks)</t>
  </si>
  <si>
    <t xml:space="preserve">  Price / Book Value (x)</t>
  </si>
  <si>
    <t xml:space="preserve">Price / BVPS FY2024A  [Core bank valuation metric]</t>
  </si>
  <si>
    <t xml:space="preserve">  Price / Tang. Book Value (x)</t>
  </si>
  <si>
    <t xml:space="preserve">Price / TBVPS  [Excludes goodwill — analysts prefer TBV]</t>
  </si>
  <si>
    <t xml:space="preserve">  Dividend Yield (%)</t>
  </si>
  <si>
    <t xml:space="preserve">Dividends per Share / Share Price</t>
  </si>
  <si>
    <t xml:space="preserve">EV-BASED MULTIPLES (Less Common for Banks — Shown for Reference)</t>
  </si>
  <si>
    <t xml:space="preserve">  EV / Net Revenue (x)</t>
  </si>
  <si>
    <t xml:space="preserve">EV / FY2024A Net Revenue  [Not primary for banks — shown for reference]</t>
  </si>
  <si>
    <t xml:space="preserve">  EV / Net Income (x)</t>
  </si>
  <si>
    <t xml:space="preserve">EV / FY2024A Net Income</t>
  </si>
  <si>
    <t xml:space="preserve">PROFITABILITY SUMMARY (Cross-Referenced from Raw Data)</t>
  </si>
  <si>
    <t xml:space="preserve">  ROATCE (%)</t>
  </si>
  <si>
    <t xml:space="preserve">  Efficiency Ratio (%)  [lower = better]</t>
  </si>
  <si>
    <t xml:space="preserve">  CET1 Capital Ratio (%)</t>
  </si>
  <si>
    <t xml:space="preserve">Yellow = Key valuation metrics for banks (Forward P/E and P/TBV)</t>
  </si>
  <si>
    <t xml:space="preserve">VALUATION SUMMARY — Implied Price Ranges by Methodology  ($)</t>
  </si>
  <si>
    <t xml:space="preserve">Implied price ranges are derived by applying peer median and 25th/75th percentile multiples to each bank's FY2025E / FY2024A financials. Select a target company using the dropdown input below.</t>
  </si>
  <si>
    <t xml:space="preserve">Target Company Selection</t>
  </si>
  <si>
    <t xml:space="preserve">  Target Ticker (from peer group):</t>
  </si>
  <si>
    <t xml:space="preserve">Enter ticker: JPM, BAC, WFC, GS, MS, C, USB, or TFC</t>
  </si>
  <si>
    <t xml:space="preserve">Target Company Data (Pulled from Raw Data by Ticker)</t>
  </si>
  <si>
    <t xml:space="preserve">  Ticker</t>
  </si>
  <si>
    <t xml:space="preserve">  Company Name</t>
  </si>
  <si>
    <t xml:space="preserve">  Current Share Price ($)</t>
  </si>
  <si>
    <t xml:space="preserve">  EPS FY2025E ($)</t>
  </si>
  <si>
    <t xml:space="preserve">  EPS FY2026E ($)</t>
  </si>
  <si>
    <t xml:space="preserve">  Tang. Book Value/Share ($)</t>
  </si>
  <si>
    <t xml:space="preserve">Implied Share Price Range by Valuation Methodology</t>
  </si>
  <si>
    <t xml:space="preserve">Methodology</t>
  </si>
  <si>
    <t xml:space="preserve">Metric Applied</t>
  </si>
  <si>
    <t xml:space="preserve">Low Multiple
(25th pct)</t>
  </si>
  <si>
    <t xml:space="preserve">Low Implied
Price ($)</t>
  </si>
  <si>
    <t xml:space="preserve">Median
Multiple</t>
  </si>
  <si>
    <t xml:space="preserve">Median Implied
Price ($)</t>
  </si>
  <si>
    <t xml:space="preserve">High Multiple
(75th pct)</t>
  </si>
  <si>
    <t xml:space="preserve">High Implied
Price ($)</t>
  </si>
  <si>
    <t xml:space="preserve">Current
Price ($)</t>
  </si>
  <si>
    <t xml:space="preserve">Prem/(Disc)
vs Median</t>
  </si>
  <si>
    <t xml:space="preserve">Notes</t>
  </si>
  <si>
    <t xml:space="preserve">  Forward P/E</t>
  </si>
  <si>
    <t xml:space="preserve">P/E vs FY2025E EPS</t>
  </si>
  <si>
    <t xml:space="preserve">Primary bank valuation methodology; most used by sell-side</t>
  </si>
  <si>
    <t xml:space="preserve">  P/Tangible BV</t>
  </si>
  <si>
    <t xml:space="preserve">Price / TBV/Share</t>
  </si>
  <si>
    <t xml:space="preserve">Key metric — excludes goodwill; preferred by most bank analysts</t>
  </si>
  <si>
    <t xml:space="preserve">  Price/Book</t>
  </si>
  <si>
    <t xml:space="preserve">Price / BVPS</t>
  </si>
  <si>
    <t xml:space="preserve">Includes goodwill; useful cross-check to P/TBV</t>
  </si>
  <si>
    <t xml:space="preserve">Yellow = Median implied price (central estimate). Green = 25th/75th percentile range.</t>
  </si>
  <si>
    <t xml:space="preserve">Note: Multiples exclude the target company itself to avoid self-referential bias.</t>
  </si>
  <si>
    <t xml:space="preserve">CHART DATA — ROATCE vs. P/TBV  (Scatter Plot)</t>
  </si>
  <si>
    <t xml:space="preserve">Ticker</t>
  </si>
  <si>
    <t xml:space="preserve">Company</t>
  </si>
  <si>
    <t xml:space="preserve">ROATCE (%) — X Axis</t>
  </si>
  <si>
    <t xml:space="preserve">P/TBV (x) — Y Axis</t>
  </si>
  <si>
    <t xml:space="preserve">Forward P/E (x)</t>
  </si>
  <si>
    <t xml:space="preserve">Key Insight</t>
  </si>
  <si>
    <t xml:space="preserve">Banks with higher ROATCE generally trade at higher P/TBV multiples. This ROATCE vs. P/TBV scatter is the most commonly used framework by bank analysts to identify relative value. Banks trading below the regression line may be undervalued vs. peers; those above may be overvalued.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</si>
</sst>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#,##0;\(#,##0\);\-"/>
    <numFmt numFmtId="167" formatCode="\$#,##0;&quot;($&quot;#,##0\);\-"/>
    <numFmt numFmtId="168" formatCode="\$#,##0.0;&quot;($&quot;#,##0.0\);\-"/>
    <numFmt numFmtId="169" formatCode="0.0%;\(0.0%\);\-"/>
    <numFmt numFmtId="170" formatCode="0.00%;\(0.00%\);\-"/>
    <numFmt numFmtId="171" formatCode="0.0\x"/>
    <numFmt numFmtId="172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40404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1" fontId="1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1"/>
      <c r="B2" s="1"/>
      <c r="C2" s="1"/>
      <c r="D2" s="1"/>
      <c r="E2" s="1"/>
      <c r="F2" s="1"/>
    </row>
    <row r="3" customFormat="false" ht="24" hidden="false" customHeight="true" outlineLevel="0" collapsed="false">
      <c r="A3" s="1"/>
      <c r="B3" s="1"/>
      <c r="C3" s="1"/>
      <c r="D3" s="1"/>
      <c r="E3" s="1"/>
      <c r="F3" s="1"/>
    </row>
    <row r="4" customFormat="false" ht="24" hidden="false" customHeight="true" outlineLevel="0" collapsed="false">
      <c r="A4" s="1"/>
      <c r="B4" s="1"/>
      <c r="C4" s="1"/>
      <c r="D4" s="1"/>
      <c r="E4" s="1"/>
      <c r="F4" s="1"/>
    </row>
    <row r="5" customFormat="false" ht="24" hidden="false" customHeight="true" outlineLevel="0" collapsed="false">
      <c r="A5" s="1"/>
      <c r="B5" s="1"/>
      <c r="C5" s="1"/>
      <c r="D5" s="1"/>
      <c r="E5" s="1"/>
      <c r="F5" s="1"/>
    </row>
    <row r="6" customFormat="false" ht="18" hidden="false" customHeight="true" outlineLevel="0" collapsed="false"/>
    <row r="7" customFormat="false" ht="21.75" hidden="false" customHeight="true" outlineLevel="0" collapsed="false">
      <c r="A7" s="2" t="s">
        <v>1</v>
      </c>
      <c r="B7" s="2"/>
      <c r="C7" s="2"/>
      <c r="D7" s="2"/>
      <c r="E7" s="2"/>
      <c r="F7" s="2"/>
    </row>
    <row r="8" customFormat="false" ht="18" hidden="false" customHeight="true" outlineLevel="0" collapsed="false"/>
    <row r="9" customFormat="false" ht="19.5" hidden="false" customHeight="true" outlineLevel="0" collapsed="false">
      <c r="B9" s="3" t="s">
        <v>2</v>
      </c>
      <c r="C9" s="3"/>
      <c r="D9" s="3"/>
      <c r="E9" s="3"/>
    </row>
    <row r="10" customFormat="false" ht="15.75" hidden="false" customHeight="true" outlineLevel="0" collapsed="false">
      <c r="B10" s="4" t="s">
        <v>3</v>
      </c>
      <c r="C10" s="5" t="s">
        <v>4</v>
      </c>
      <c r="D10" s="6"/>
      <c r="E10" s="6"/>
    </row>
    <row r="11" customFormat="false" ht="15.75" hidden="false" customHeight="true" outlineLevel="0" collapsed="false">
      <c r="B11" s="4" t="s">
        <v>5</v>
      </c>
      <c r="C11" s="5" t="s">
        <v>6</v>
      </c>
      <c r="D11" s="6"/>
      <c r="E11" s="6"/>
    </row>
    <row r="12" customFormat="false" ht="15.75" hidden="false" customHeight="true" outlineLevel="0" collapsed="false">
      <c r="B12" s="4" t="s">
        <v>7</v>
      </c>
      <c r="C12" s="5" t="s">
        <v>8</v>
      </c>
      <c r="D12" s="6"/>
      <c r="E12" s="6"/>
    </row>
    <row r="13" customFormat="false" ht="15.75" hidden="false" customHeight="true" outlineLevel="0" collapsed="false">
      <c r="B13" s="4" t="s">
        <v>9</v>
      </c>
      <c r="C13" s="5" t="s">
        <v>10</v>
      </c>
      <c r="D13" s="6"/>
      <c r="E13" s="6"/>
    </row>
    <row r="14" customFormat="false" ht="15.75" hidden="false" customHeight="true" outlineLevel="0" collapsed="false">
      <c r="B14" s="4" t="s">
        <v>11</v>
      </c>
      <c r="C14" s="5" t="s">
        <v>12</v>
      </c>
      <c r="D14" s="6"/>
      <c r="E14" s="6"/>
    </row>
    <row r="15" customFormat="false" ht="15.75" hidden="false" customHeight="true" outlineLevel="0" collapsed="false">
      <c r="B15" s="4" t="s">
        <v>13</v>
      </c>
      <c r="C15" s="5" t="s">
        <v>14</v>
      </c>
      <c r="D15" s="6"/>
      <c r="E15" s="6"/>
    </row>
    <row r="16" customFormat="false" ht="15.75" hidden="false" customHeight="true" outlineLevel="0" collapsed="false">
      <c r="B16" s="4" t="s">
        <v>15</v>
      </c>
      <c r="C16" s="5" t="s">
        <v>16</v>
      </c>
      <c r="D16" s="6"/>
      <c r="E16" s="6"/>
    </row>
    <row r="17" customFormat="false" ht="15.75" hidden="false" customHeight="true" outlineLevel="0" collapsed="false">
      <c r="B17" s="4" t="s">
        <v>17</v>
      </c>
      <c r="C17" s="5" t="s">
        <v>18</v>
      </c>
      <c r="D17" s="6"/>
      <c r="E17" s="6"/>
    </row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27.75" hidden="false" customHeight="true" outlineLevel="0" collapsed="false">
      <c r="B32" s="7" t="s">
        <v>19</v>
      </c>
      <c r="C32" s="7"/>
      <c r="D32" s="7"/>
      <c r="E32" s="7"/>
    </row>
    <row r="33" customFormat="false" ht="18" hidden="false" customHeight="true" outlineLevel="0" collapsed="false"/>
    <row r="34" customFormat="false" ht="13.5" hidden="false" customHeight="true" outlineLevel="0" collapsed="false">
      <c r="B34" s="8" t="s">
        <v>20</v>
      </c>
      <c r="C34" s="5" t="s">
        <v>21</v>
      </c>
      <c r="D34" s="6"/>
      <c r="E34" s="6"/>
    </row>
    <row r="35" customFormat="false" ht="13.5" hidden="false" customHeight="true" outlineLevel="0" collapsed="false">
      <c r="B35" s="9" t="s">
        <v>22</v>
      </c>
      <c r="C35" s="5" t="s">
        <v>23</v>
      </c>
      <c r="D35" s="6"/>
      <c r="E35" s="6"/>
    </row>
    <row r="36" customFormat="false" ht="13.5" hidden="false" customHeight="true" outlineLevel="0" collapsed="false">
      <c r="B36" s="10" t="s">
        <v>24</v>
      </c>
      <c r="C36" s="5" t="s">
        <v>25</v>
      </c>
      <c r="D36" s="6"/>
      <c r="E36" s="6"/>
    </row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4">
    <mergeCell ref="A1:F5"/>
    <mergeCell ref="A7:F7"/>
    <mergeCell ref="B9:E9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4"/>
    <col collapsed="false" customWidth="true" hidden="false" outlineLevel="0" max="13" min="10" style="0" width="13"/>
    <col collapsed="false" customWidth="true" hidden="false" outlineLevel="0" max="14" min="14" style="0" width="24"/>
  </cols>
  <sheetData>
    <row r="1" customFormat="false" ht="25.5" hidden="false" customHeight="true" outlineLevel="0" collapsed="false">
      <c r="A1" s="11" t="s">
        <v>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7.5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8" hidden="false" customHeight="true" outlineLevel="0" collapsed="false">
      <c r="A3" s="13" t="s">
        <v>27</v>
      </c>
      <c r="B3" s="14" t="s">
        <v>3</v>
      </c>
      <c r="C3" s="14" t="s">
        <v>5</v>
      </c>
      <c r="D3" s="14" t="s">
        <v>7</v>
      </c>
      <c r="E3" s="14" t="s">
        <v>9</v>
      </c>
      <c r="F3" s="14" t="s">
        <v>11</v>
      </c>
      <c r="G3" s="14" t="s">
        <v>13</v>
      </c>
      <c r="H3" s="14" t="s">
        <v>15</v>
      </c>
      <c r="I3" s="14" t="s">
        <v>17</v>
      </c>
      <c r="J3" s="15" t="s">
        <v>28</v>
      </c>
      <c r="K3" s="15" t="s">
        <v>29</v>
      </c>
      <c r="L3" s="15" t="s">
        <v>30</v>
      </c>
      <c r="M3" s="15" t="s">
        <v>31</v>
      </c>
      <c r="N3" s="13" t="s">
        <v>32</v>
      </c>
    </row>
    <row r="4" customFormat="false" ht="7.5" hidden="false" customHeight="true" outlineLevel="0" collapsed="false">
      <c r="A4" s="16" t="s">
        <v>33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customFormat="false" ht="18" hidden="false" customHeight="true" outlineLevel="0" collapsed="false">
      <c r="A5" s="17" t="s">
        <v>34</v>
      </c>
      <c r="B5" s="18" t="n">
        <v>240</v>
      </c>
      <c r="C5" s="18" t="n">
        <v>43.5</v>
      </c>
      <c r="D5" s="18" t="n">
        <v>66.2</v>
      </c>
      <c r="E5" s="18" t="n">
        <v>510</v>
      </c>
      <c r="F5" s="18" t="n">
        <v>107</v>
      </c>
      <c r="G5" s="18" t="n">
        <v>69</v>
      </c>
      <c r="H5" s="18" t="n">
        <v>44.5</v>
      </c>
      <c r="I5" s="18" t="n">
        <v>40.2</v>
      </c>
      <c r="J5" s="19" t="n">
        <f aca="false">AVERAGE(B5:I5)</f>
        <v>140.05</v>
      </c>
      <c r="K5" s="19" t="n">
        <f aca="false">MEDIAN(B5:I5)</f>
        <v>67.6</v>
      </c>
      <c r="L5" s="19" t="n">
        <f aca="false">MIN(B5:I5)</f>
        <v>40.2</v>
      </c>
      <c r="M5" s="19" t="n">
        <f aca="false">MAX(B5:I5)</f>
        <v>510</v>
      </c>
      <c r="N5" s="20" t="s">
        <v>35</v>
      </c>
    </row>
    <row r="6" customFormat="false" ht="18" hidden="false" customHeight="true" outlineLevel="0" collapsed="false">
      <c r="A6" s="17" t="s">
        <v>36</v>
      </c>
      <c r="B6" s="21" t="n">
        <v>2900</v>
      </c>
      <c r="C6" s="21" t="n">
        <v>7680</v>
      </c>
      <c r="D6" s="21" t="n">
        <v>3850</v>
      </c>
      <c r="E6" s="21" t="n">
        <v>353</v>
      </c>
      <c r="F6" s="21" t="n">
        <v>1540</v>
      </c>
      <c r="G6" s="21" t="n">
        <v>1930</v>
      </c>
      <c r="H6" s="21" t="n">
        <v>1570</v>
      </c>
      <c r="I6" s="21" t="n">
        <v>1420</v>
      </c>
      <c r="J6" s="22" t="n">
        <f aca="false">AVERAGE(B6:I6)</f>
        <v>2655.375</v>
      </c>
      <c r="K6" s="22" t="n">
        <f aca="false">MEDIAN(B6:I6)</f>
        <v>1750</v>
      </c>
      <c r="L6" s="22" t="n">
        <f aca="false">MIN(B6:I6)</f>
        <v>353</v>
      </c>
      <c r="M6" s="22" t="n">
        <f aca="false">MAX(B6:I6)</f>
        <v>7680</v>
      </c>
      <c r="N6" s="20" t="s">
        <v>37</v>
      </c>
    </row>
    <row r="7" customFormat="false" ht="18" hidden="false" customHeight="true" outlineLevel="0" collapsed="false">
      <c r="A7" s="17" t="s">
        <v>38</v>
      </c>
      <c r="B7" s="23" t="n">
        <f aca="false">B5*B6/1000</f>
        <v>696</v>
      </c>
      <c r="C7" s="23" t="n">
        <f aca="false">C5*C6/1000</f>
        <v>334.08</v>
      </c>
      <c r="D7" s="23" t="n">
        <f aca="false">D5*D6/1000</f>
        <v>254.87</v>
      </c>
      <c r="E7" s="23" t="n">
        <f aca="false">E5*E6/1000</f>
        <v>180.03</v>
      </c>
      <c r="F7" s="23" t="n">
        <f aca="false">F5*F6/1000</f>
        <v>164.78</v>
      </c>
      <c r="G7" s="23" t="n">
        <f aca="false">G5*G6/1000</f>
        <v>133.17</v>
      </c>
      <c r="H7" s="23" t="n">
        <f aca="false">H5*H6/1000</f>
        <v>69.865</v>
      </c>
      <c r="I7" s="23" t="n">
        <f aca="false">I5*I6/1000</f>
        <v>57.084</v>
      </c>
      <c r="J7" s="23" t="n">
        <f aca="false">AVERAGE(B7:I7)</f>
        <v>236.234875</v>
      </c>
      <c r="K7" s="23" t="n">
        <f aca="false">MEDIAN(B7:I7)</f>
        <v>172.405</v>
      </c>
      <c r="L7" s="23" t="n">
        <f aca="false">MIN(B7:I7)</f>
        <v>57.084</v>
      </c>
      <c r="M7" s="23" t="n">
        <f aca="false">MAX(B7:I7)</f>
        <v>696</v>
      </c>
      <c r="N7" s="20" t="s">
        <v>39</v>
      </c>
    </row>
    <row r="8" customFormat="false" ht="18" hidden="false" customHeight="true" outlineLevel="0" collapsed="false">
      <c r="A8" s="17" t="s">
        <v>40</v>
      </c>
      <c r="B8" s="24" t="n">
        <v>280000</v>
      </c>
      <c r="C8" s="24" t="n">
        <v>230000</v>
      </c>
      <c r="D8" s="24" t="n">
        <v>185000</v>
      </c>
      <c r="E8" s="24" t="n">
        <v>195000</v>
      </c>
      <c r="F8" s="24" t="n">
        <v>210000</v>
      </c>
      <c r="G8" s="24" t="n">
        <v>245000</v>
      </c>
      <c r="H8" s="24" t="n">
        <v>52000</v>
      </c>
      <c r="I8" s="24" t="n">
        <v>45000</v>
      </c>
      <c r="J8" s="23" t="n">
        <f aca="false">AVERAGE(B8:I8)</f>
        <v>180250</v>
      </c>
      <c r="K8" s="23" t="n">
        <f aca="false">MEDIAN(B8:I8)</f>
        <v>202500</v>
      </c>
      <c r="L8" s="23" t="n">
        <f aca="false">MIN(B8:I8)</f>
        <v>45000</v>
      </c>
      <c r="M8" s="23" t="n">
        <f aca="false">MAX(B8:I8)</f>
        <v>280000</v>
      </c>
      <c r="N8" s="20" t="s">
        <v>41</v>
      </c>
    </row>
    <row r="9" customFormat="false" ht="18" hidden="false" customHeight="true" outlineLevel="0" collapsed="false">
      <c r="A9" s="17" t="s">
        <v>42</v>
      </c>
      <c r="B9" s="24" t="n">
        <v>35000</v>
      </c>
      <c r="C9" s="24" t="n">
        <v>22000</v>
      </c>
      <c r="D9" s="24" t="n">
        <v>18000</v>
      </c>
      <c r="E9" s="24" t="n">
        <v>15000</v>
      </c>
      <c r="F9" s="24" t="n">
        <v>13000</v>
      </c>
      <c r="G9" s="24" t="n">
        <v>20000</v>
      </c>
      <c r="H9" s="24" t="n">
        <v>8000</v>
      </c>
      <c r="I9" s="24" t="n">
        <v>6000</v>
      </c>
      <c r="J9" s="23" t="n">
        <f aca="false">AVERAGE(B9:I9)</f>
        <v>17125</v>
      </c>
      <c r="K9" s="23" t="n">
        <f aca="false">MEDIAN(B9:I9)</f>
        <v>16500</v>
      </c>
      <c r="L9" s="23" t="n">
        <f aca="false">MIN(B9:I9)</f>
        <v>6000</v>
      </c>
      <c r="M9" s="23" t="n">
        <f aca="false">MAX(B9:I9)</f>
        <v>35000</v>
      </c>
      <c r="N9" s="20" t="s">
        <v>43</v>
      </c>
    </row>
    <row r="10" customFormat="false" ht="18" hidden="false" customHeight="true" outlineLevel="0" collapsed="false">
      <c r="A10" s="17" t="s">
        <v>44</v>
      </c>
      <c r="B10" s="23" t="n">
        <f aca="false">B7+B8-B9</f>
        <v>245696</v>
      </c>
      <c r="C10" s="23" t="n">
        <f aca="false">C7+C8-C9</f>
        <v>208334.08</v>
      </c>
      <c r="D10" s="23" t="n">
        <f aca="false">D7+D8-D9</f>
        <v>167254.87</v>
      </c>
      <c r="E10" s="23" t="n">
        <f aca="false">E7+E8-E9</f>
        <v>180180.03</v>
      </c>
      <c r="F10" s="23" t="n">
        <f aca="false">F7+F8-F9</f>
        <v>197164.78</v>
      </c>
      <c r="G10" s="23" t="n">
        <f aca="false">G7+G8-G9</f>
        <v>225133.17</v>
      </c>
      <c r="H10" s="23" t="n">
        <f aca="false">H7+H8-H9</f>
        <v>44069.865</v>
      </c>
      <c r="I10" s="23" t="n">
        <f aca="false">I7+I8-I9</f>
        <v>39057.084</v>
      </c>
      <c r="J10" s="23" t="n">
        <f aca="false">AVERAGE(B10:I10)</f>
        <v>163361.234875</v>
      </c>
      <c r="K10" s="23" t="n">
        <f aca="false">MEDIAN(B10:I10)</f>
        <v>188672.405</v>
      </c>
      <c r="L10" s="23" t="n">
        <f aca="false">MIN(B10:I10)</f>
        <v>39057.084</v>
      </c>
      <c r="M10" s="23" t="n">
        <f aca="false">MAX(B10:I10)</f>
        <v>245696</v>
      </c>
      <c r="N10" s="20" t="s">
        <v>45</v>
      </c>
    </row>
    <row r="12" customFormat="false" ht="7.5" hidden="false" customHeight="true" outlineLevel="0" collapsed="false">
      <c r="A12" s="16" t="s">
        <v>46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customFormat="false" ht="18" hidden="false" customHeight="true" outlineLevel="0" collapsed="false">
      <c r="A13" s="17" t="s">
        <v>47</v>
      </c>
      <c r="B13" s="24" t="n">
        <v>181014</v>
      </c>
      <c r="C13" s="24" t="n">
        <v>98641</v>
      </c>
      <c r="D13" s="24" t="n">
        <v>78399</v>
      </c>
      <c r="E13" s="24" t="n">
        <v>53512</v>
      </c>
      <c r="F13" s="24" t="n">
        <v>61793</v>
      </c>
      <c r="G13" s="24" t="n">
        <v>80658</v>
      </c>
      <c r="H13" s="24" t="n">
        <v>26978</v>
      </c>
      <c r="I13" s="24" t="n">
        <v>20200</v>
      </c>
      <c r="J13" s="23" t="n">
        <f aca="false">AVERAGE(B13:I13)</f>
        <v>75149.375</v>
      </c>
      <c r="K13" s="23" t="n">
        <f aca="false">MEDIAN(B13:I13)</f>
        <v>70096</v>
      </c>
      <c r="L13" s="23" t="n">
        <f aca="false">MIN(B13:I13)</f>
        <v>20200</v>
      </c>
      <c r="M13" s="23" t="n">
        <f aca="false">MAX(B13:I13)</f>
        <v>181014</v>
      </c>
      <c r="N13" s="20" t="s">
        <v>48</v>
      </c>
    </row>
    <row r="14" customFormat="false" ht="18" hidden="false" customHeight="true" outlineLevel="0" collapsed="false">
      <c r="A14" s="17" t="s">
        <v>49</v>
      </c>
      <c r="B14" s="24" t="n">
        <v>58471</v>
      </c>
      <c r="C14" s="24" t="n">
        <v>27131</v>
      </c>
      <c r="D14" s="24" t="n">
        <v>19723</v>
      </c>
      <c r="E14" s="24" t="n">
        <v>14280</v>
      </c>
      <c r="F14" s="24" t="n">
        <v>13860</v>
      </c>
      <c r="G14" s="24" t="n">
        <v>12695</v>
      </c>
      <c r="H14" s="24" t="n">
        <v>5700</v>
      </c>
      <c r="I14" s="24" t="n">
        <v>4780</v>
      </c>
      <c r="J14" s="23" t="n">
        <f aca="false">AVERAGE(B14:I14)</f>
        <v>19580</v>
      </c>
      <c r="K14" s="23" t="n">
        <f aca="false">MEDIAN(B14:I14)</f>
        <v>14070</v>
      </c>
      <c r="L14" s="23" t="n">
        <f aca="false">MIN(B14:I14)</f>
        <v>4780</v>
      </c>
      <c r="M14" s="23" t="n">
        <f aca="false">MAX(B14:I14)</f>
        <v>58471</v>
      </c>
      <c r="N14" s="20" t="s">
        <v>50</v>
      </c>
    </row>
    <row r="15" customFormat="false" ht="18" hidden="false" customHeight="true" outlineLevel="0" collapsed="false">
      <c r="A15" s="17" t="s">
        <v>51</v>
      </c>
      <c r="B15" s="18" t="n">
        <v>20.15</v>
      </c>
      <c r="C15" s="18" t="n">
        <v>3.52</v>
      </c>
      <c r="D15" s="18" t="n">
        <v>5.12</v>
      </c>
      <c r="E15" s="18" t="n">
        <v>40.54</v>
      </c>
      <c r="F15" s="18" t="n">
        <v>9</v>
      </c>
      <c r="G15" s="18" t="n">
        <v>6.58</v>
      </c>
      <c r="H15" s="18" t="n">
        <v>3.63</v>
      </c>
      <c r="I15" s="18" t="n">
        <v>3.37</v>
      </c>
      <c r="J15" s="19" t="n">
        <f aca="false">AVERAGE(B15:I15)</f>
        <v>11.48875</v>
      </c>
      <c r="K15" s="19" t="n">
        <f aca="false">MEDIAN(B15:I15)</f>
        <v>5.85</v>
      </c>
      <c r="L15" s="19" t="n">
        <f aca="false">MIN(B15:I15)</f>
        <v>3.37</v>
      </c>
      <c r="M15" s="19" t="n">
        <f aca="false">MAX(B15:I15)</f>
        <v>40.54</v>
      </c>
      <c r="N15" s="20" t="s">
        <v>52</v>
      </c>
    </row>
    <row r="16" customFormat="false" ht="18" hidden="false" customHeight="true" outlineLevel="0" collapsed="false">
      <c r="A16" s="17" t="s">
        <v>53</v>
      </c>
      <c r="B16" s="18" t="n">
        <v>21.5</v>
      </c>
      <c r="C16" s="18" t="n">
        <v>3.85</v>
      </c>
      <c r="D16" s="18" t="n">
        <v>5.8</v>
      </c>
      <c r="E16" s="18" t="n">
        <v>44</v>
      </c>
      <c r="F16" s="18" t="n">
        <v>9.8</v>
      </c>
      <c r="G16" s="18" t="n">
        <v>7.2</v>
      </c>
      <c r="H16" s="18" t="n">
        <v>3.95</v>
      </c>
      <c r="I16" s="18" t="n">
        <v>3.65</v>
      </c>
      <c r="J16" s="19" t="n">
        <f aca="false">AVERAGE(B16:I16)</f>
        <v>12.46875</v>
      </c>
      <c r="K16" s="19" t="n">
        <f aca="false">MEDIAN(B16:I16)</f>
        <v>6.5</v>
      </c>
      <c r="L16" s="19" t="n">
        <f aca="false">MIN(B16:I16)</f>
        <v>3.65</v>
      </c>
      <c r="M16" s="19" t="n">
        <f aca="false">MAX(B16:I16)</f>
        <v>44</v>
      </c>
      <c r="N16" s="20" t="s">
        <v>54</v>
      </c>
    </row>
    <row r="17" customFormat="false" ht="18" hidden="false" customHeight="true" outlineLevel="0" collapsed="false">
      <c r="A17" s="17" t="s">
        <v>55</v>
      </c>
      <c r="B17" s="18" t="n">
        <v>23.22</v>
      </c>
      <c r="C17" s="18" t="n">
        <v>4.16</v>
      </c>
      <c r="D17" s="18" t="n">
        <v>6.26</v>
      </c>
      <c r="E17" s="18" t="n">
        <v>47.52</v>
      </c>
      <c r="F17" s="18" t="n">
        <v>10.58</v>
      </c>
      <c r="G17" s="18" t="n">
        <v>7.78</v>
      </c>
      <c r="H17" s="18" t="n">
        <v>4.27</v>
      </c>
      <c r="I17" s="18" t="n">
        <v>3.94</v>
      </c>
      <c r="J17" s="19" t="n">
        <f aca="false">AVERAGE(B17:I17)</f>
        <v>13.46625</v>
      </c>
      <c r="K17" s="19" t="n">
        <f aca="false">MEDIAN(B17:I17)</f>
        <v>7.02</v>
      </c>
      <c r="L17" s="19" t="n">
        <f aca="false">MIN(B17:I17)</f>
        <v>3.94</v>
      </c>
      <c r="M17" s="19" t="n">
        <f aca="false">MAX(B17:I17)</f>
        <v>47.52</v>
      </c>
      <c r="N17" s="20" t="s">
        <v>56</v>
      </c>
    </row>
    <row r="19" customFormat="false" ht="7.5" hidden="false" customHeight="true" outlineLevel="0" collapsed="false">
      <c r="A19" s="16" t="s">
        <v>57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customFormat="false" ht="18" hidden="false" customHeight="true" outlineLevel="0" collapsed="false">
      <c r="A20" s="17" t="s">
        <v>58</v>
      </c>
      <c r="B20" s="25" t="n">
        <v>108.5</v>
      </c>
      <c r="C20" s="25" t="n">
        <v>34.4</v>
      </c>
      <c r="D20" s="25" t="n">
        <v>53.6</v>
      </c>
      <c r="E20" s="25" t="n">
        <v>333.1</v>
      </c>
      <c r="F20" s="25" t="n">
        <v>62.4</v>
      </c>
      <c r="G20" s="25" t="n">
        <v>101</v>
      </c>
      <c r="H20" s="25" t="n">
        <v>31.5</v>
      </c>
      <c r="I20" s="25" t="n">
        <v>42.5</v>
      </c>
      <c r="J20" s="26" t="n">
        <f aca="false">AVERAGE(B20:I20)</f>
        <v>95.875</v>
      </c>
      <c r="K20" s="26" t="n">
        <f aca="false">MEDIAN(B20:I20)</f>
        <v>58</v>
      </c>
      <c r="L20" s="26" t="n">
        <f aca="false">MIN(B20:I20)</f>
        <v>31.5</v>
      </c>
      <c r="M20" s="26" t="n">
        <f aca="false">MAX(B20:I20)</f>
        <v>333.1</v>
      </c>
      <c r="N20" s="20" t="s">
        <v>59</v>
      </c>
    </row>
    <row r="21" customFormat="false" ht="18" hidden="false" customHeight="true" outlineLevel="0" collapsed="false">
      <c r="A21" s="17" t="s">
        <v>60</v>
      </c>
      <c r="B21" s="25" t="n">
        <v>93.2</v>
      </c>
      <c r="C21" s="25" t="n">
        <v>25.1</v>
      </c>
      <c r="D21" s="25" t="n">
        <v>41.2</v>
      </c>
      <c r="E21" s="25" t="n">
        <v>312.5</v>
      </c>
      <c r="F21" s="25" t="n">
        <v>52.7</v>
      </c>
      <c r="G21" s="25" t="n">
        <v>90.3</v>
      </c>
      <c r="H21" s="25" t="n">
        <v>24.6</v>
      </c>
      <c r="I21" s="25" t="n">
        <v>30.2</v>
      </c>
      <c r="J21" s="26" t="n">
        <f aca="false">AVERAGE(B21:I21)</f>
        <v>83.725</v>
      </c>
      <c r="K21" s="26" t="n">
        <f aca="false">MEDIAN(B21:I21)</f>
        <v>46.95</v>
      </c>
      <c r="L21" s="26" t="n">
        <f aca="false">MIN(B21:I21)</f>
        <v>24.6</v>
      </c>
      <c r="M21" s="26" t="n">
        <f aca="false">MAX(B21:I21)</f>
        <v>312.5</v>
      </c>
      <c r="N21" s="20" t="s">
        <v>61</v>
      </c>
    </row>
    <row r="22" customFormat="false" ht="18" hidden="false" customHeight="true" outlineLevel="0" collapsed="false">
      <c r="A22" s="17" t="s">
        <v>62</v>
      </c>
      <c r="B22" s="25" t="n">
        <v>6</v>
      </c>
      <c r="C22" s="25" t="n">
        <v>1.09</v>
      </c>
      <c r="D22" s="25" t="n">
        <v>1.66</v>
      </c>
      <c r="E22" s="25" t="n">
        <v>12.75</v>
      </c>
      <c r="F22" s="25" t="n">
        <v>2.68</v>
      </c>
      <c r="G22" s="25" t="n">
        <v>1.73</v>
      </c>
      <c r="H22" s="25" t="n">
        <v>1.11</v>
      </c>
      <c r="I22" s="25" t="n">
        <v>1.01</v>
      </c>
      <c r="J22" s="26" t="n">
        <f aca="false">AVERAGE(B22:I22)</f>
        <v>3.50375</v>
      </c>
      <c r="K22" s="26" t="n">
        <f aca="false">MEDIAN(B22:I22)</f>
        <v>1.695</v>
      </c>
      <c r="L22" s="26" t="n">
        <f aca="false">MIN(B22:I22)</f>
        <v>1.01</v>
      </c>
      <c r="M22" s="26" t="n">
        <f aca="false">MAX(B22:I22)</f>
        <v>12.75</v>
      </c>
      <c r="N22" s="20" t="s">
        <v>63</v>
      </c>
    </row>
    <row r="24" customFormat="false" ht="7.5" hidden="false" customHeight="true" outlineLevel="0" collapsed="false">
      <c r="A24" s="16" t="s">
        <v>64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customFormat="false" ht="18" hidden="false" customHeight="true" outlineLevel="0" collapsed="false">
      <c r="A25" s="17" t="s">
        <v>65</v>
      </c>
      <c r="B25" s="27" t="n">
        <v>0.172</v>
      </c>
      <c r="C25" s="27" t="n">
        <v>0.091</v>
      </c>
      <c r="D25" s="27" t="n">
        <v>0.112</v>
      </c>
      <c r="E25" s="27" t="n">
        <v>0.125</v>
      </c>
      <c r="F25" s="27" t="n">
        <v>0.138</v>
      </c>
      <c r="G25" s="27" t="n">
        <v>0.067</v>
      </c>
      <c r="H25" s="27" t="n">
        <v>0.121</v>
      </c>
      <c r="I25" s="27" t="n">
        <v>0.097</v>
      </c>
      <c r="J25" s="28" t="n">
        <f aca="false">AVERAGE(B25:I25)</f>
        <v>0.115375</v>
      </c>
      <c r="K25" s="28" t="n">
        <f aca="false">MEDIAN(B25:I25)</f>
        <v>0.1165</v>
      </c>
      <c r="L25" s="28" t="n">
        <f aca="false">MIN(B25:I25)</f>
        <v>0.067</v>
      </c>
      <c r="M25" s="28" t="n">
        <f aca="false">MAX(B25:I25)</f>
        <v>0.172</v>
      </c>
      <c r="N25" s="20" t="s">
        <v>66</v>
      </c>
    </row>
    <row r="26" customFormat="false" ht="18" hidden="false" customHeight="true" outlineLevel="0" collapsed="false">
      <c r="A26" s="17" t="s">
        <v>67</v>
      </c>
      <c r="B26" s="27" t="n">
        <v>0.208</v>
      </c>
      <c r="C26" s="27" t="n">
        <v>0.128</v>
      </c>
      <c r="D26" s="27" t="n">
        <v>0.148</v>
      </c>
      <c r="E26" s="27" t="n">
        <v>0.133</v>
      </c>
      <c r="F26" s="27" t="n">
        <v>0.168</v>
      </c>
      <c r="G26" s="27" t="n">
        <v>0.075</v>
      </c>
      <c r="H26" s="27" t="n">
        <v>0.165</v>
      </c>
      <c r="I26" s="27" t="n">
        <v>0.14</v>
      </c>
      <c r="J26" s="28" t="n">
        <f aca="false">AVERAGE(B26:I26)</f>
        <v>0.145625</v>
      </c>
      <c r="K26" s="28" t="n">
        <f aca="false">MEDIAN(B26:I26)</f>
        <v>0.144</v>
      </c>
      <c r="L26" s="28" t="n">
        <f aca="false">MIN(B26:I26)</f>
        <v>0.075</v>
      </c>
      <c r="M26" s="28" t="n">
        <f aca="false">MAX(B26:I26)</f>
        <v>0.208</v>
      </c>
      <c r="N26" s="20" t="s">
        <v>68</v>
      </c>
    </row>
    <row r="27" customFormat="false" ht="18" hidden="false" customHeight="true" outlineLevel="0" collapsed="false">
      <c r="A27" s="17" t="s">
        <v>69</v>
      </c>
      <c r="B27" s="27" t="n">
        <v>0.541</v>
      </c>
      <c r="C27" s="27" t="n">
        <v>0.648</v>
      </c>
      <c r="D27" s="27" t="n">
        <v>0.638</v>
      </c>
      <c r="E27" s="27" t="n">
        <v>0.604</v>
      </c>
      <c r="F27" s="27" t="n">
        <v>0.711</v>
      </c>
      <c r="G27" s="27" t="n">
        <v>0.672</v>
      </c>
      <c r="H27" s="27" t="n">
        <v>0.598</v>
      </c>
      <c r="I27" s="27" t="n">
        <v>0.622</v>
      </c>
      <c r="J27" s="28" t="n">
        <f aca="false">AVERAGE(B27:I27)</f>
        <v>0.62925</v>
      </c>
      <c r="K27" s="28" t="n">
        <f aca="false">MEDIAN(B27:I27)</f>
        <v>0.63</v>
      </c>
      <c r="L27" s="28" t="n">
        <f aca="false">MIN(B27:I27)</f>
        <v>0.541</v>
      </c>
      <c r="M27" s="28" t="n">
        <f aca="false">MAX(B27:I27)</f>
        <v>0.711</v>
      </c>
      <c r="N27" s="20" t="s">
        <v>70</v>
      </c>
    </row>
    <row r="28" customFormat="false" ht="18" hidden="false" customHeight="true" outlineLevel="0" collapsed="false">
      <c r="A28" s="17" t="s">
        <v>71</v>
      </c>
      <c r="B28" s="29" t="n">
        <v>0.0282</v>
      </c>
      <c r="C28" s="29" t="n">
        <v>0.0195</v>
      </c>
      <c r="D28" s="29" t="n">
        <v>0.0269</v>
      </c>
      <c r="E28" s="30" t="s">
        <v>72</v>
      </c>
      <c r="F28" s="30" t="s">
        <v>72</v>
      </c>
      <c r="G28" s="29" t="n">
        <v>0.0239</v>
      </c>
      <c r="H28" s="29" t="n">
        <v>0.0289</v>
      </c>
      <c r="I28" s="29" t="n">
        <v>0.0305</v>
      </c>
      <c r="J28" s="31" t="n">
        <f aca="false">AVERAGE(B28:I28)</f>
        <v>0.0263166666666667</v>
      </c>
      <c r="K28" s="31" t="n">
        <f aca="false">MEDIAN(B28:I28)</f>
        <v>0.02755</v>
      </c>
      <c r="L28" s="31" t="n">
        <f aca="false">MIN(B28:I28)</f>
        <v>0.0195</v>
      </c>
      <c r="M28" s="31" t="n">
        <f aca="false">MAX(B28:I28)</f>
        <v>0.0305</v>
      </c>
      <c r="N28" s="20" t="s">
        <v>73</v>
      </c>
    </row>
    <row r="29" customFormat="false" ht="18" hidden="false" customHeight="true" outlineLevel="0" collapsed="false">
      <c r="A29" s="17" t="s">
        <v>74</v>
      </c>
      <c r="B29" s="27" t="n">
        <v>0.155</v>
      </c>
      <c r="C29" s="27" t="n">
        <v>0.136</v>
      </c>
      <c r="D29" s="27" t="n">
        <v>0.118</v>
      </c>
      <c r="E29" s="27" t="n">
        <v>0.148</v>
      </c>
      <c r="F29" s="27" t="n">
        <v>0.155</v>
      </c>
      <c r="G29" s="27" t="n">
        <v>0.136</v>
      </c>
      <c r="H29" s="27" t="n">
        <v>0.104</v>
      </c>
      <c r="I29" s="27" t="n">
        <v>0.108</v>
      </c>
      <c r="J29" s="28" t="n">
        <f aca="false">AVERAGE(B29:I29)</f>
        <v>0.1325</v>
      </c>
      <c r="K29" s="28" t="n">
        <f aca="false">MEDIAN(B29:I29)</f>
        <v>0.136</v>
      </c>
      <c r="L29" s="28" t="n">
        <f aca="false">MIN(B29:I29)</f>
        <v>0.104</v>
      </c>
      <c r="M29" s="28" t="n">
        <f aca="false">MAX(B29:I29)</f>
        <v>0.155</v>
      </c>
      <c r="N29" s="20" t="s">
        <v>75</v>
      </c>
    </row>
  </sheetData>
  <mergeCells count="5">
    <mergeCell ref="A1:M1"/>
    <mergeCell ref="A4:M4"/>
    <mergeCell ref="A12:M12"/>
    <mergeCell ref="A19:M19"/>
    <mergeCell ref="A24:M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4"/>
    <col collapsed="false" customWidth="true" hidden="false" outlineLevel="0" max="13" min="10" style="0" width="13"/>
    <col collapsed="false" customWidth="true" hidden="false" outlineLevel="0" max="14" min="14" style="0" width="26"/>
  </cols>
  <sheetData>
    <row r="1" customFormat="false" ht="25.5" hidden="false" customHeight="true" outlineLevel="0" collapsed="false">
      <c r="A1" s="11" t="s">
        <v>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7.5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8" hidden="false" customHeight="true" outlineLevel="0" collapsed="false">
      <c r="A3" s="13" t="s">
        <v>77</v>
      </c>
      <c r="B3" s="14" t="s">
        <v>3</v>
      </c>
      <c r="C3" s="14" t="s">
        <v>5</v>
      </c>
      <c r="D3" s="14" t="s">
        <v>7</v>
      </c>
      <c r="E3" s="14" t="s">
        <v>9</v>
      </c>
      <c r="F3" s="14" t="s">
        <v>11</v>
      </c>
      <c r="G3" s="14" t="s">
        <v>13</v>
      </c>
      <c r="H3" s="14" t="s">
        <v>15</v>
      </c>
      <c r="I3" s="14" t="s">
        <v>17</v>
      </c>
      <c r="J3" s="15" t="s">
        <v>28</v>
      </c>
      <c r="K3" s="15" t="s">
        <v>29</v>
      </c>
      <c r="L3" s="15" t="s">
        <v>30</v>
      </c>
      <c r="M3" s="15" t="s">
        <v>31</v>
      </c>
      <c r="N3" s="13" t="s">
        <v>78</v>
      </c>
    </row>
    <row r="4" customFormat="false" ht="7.5" hidden="false" customHeight="true" outlineLevel="0" collapsed="false">
      <c r="A4" s="16" t="s">
        <v>79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customFormat="false" ht="19.5" hidden="false" customHeight="true" outlineLevel="0" collapsed="false">
      <c r="A5" s="17" t="s">
        <v>80</v>
      </c>
      <c r="B5" s="32" t="n">
        <f aca="false">IF('Raw Data'!B15=0,"-",'Raw Data'!B5/'Raw Data'!B15)</f>
        <v>11.9106699751861</v>
      </c>
      <c r="C5" s="32" t="n">
        <f aca="false">IF('Raw Data'!C15=0,"-",'Raw Data'!C5/'Raw Data'!C15)</f>
        <v>12.3579545454545</v>
      </c>
      <c r="D5" s="32" t="n">
        <f aca="false">IF('Raw Data'!D15=0,"-",'Raw Data'!D5/'Raw Data'!D15)</f>
        <v>12.9296875</v>
      </c>
      <c r="E5" s="32" t="n">
        <f aca="false">IF('Raw Data'!E15=0,"-",'Raw Data'!E5/'Raw Data'!E15)</f>
        <v>12.5801677355698</v>
      </c>
      <c r="F5" s="32" t="n">
        <f aca="false">IF('Raw Data'!F15=0,"-",'Raw Data'!F5/'Raw Data'!F15)</f>
        <v>11.8888888888889</v>
      </c>
      <c r="G5" s="32" t="n">
        <f aca="false">IF('Raw Data'!G15=0,"-",'Raw Data'!G5/'Raw Data'!G15)</f>
        <v>10.4863221884498</v>
      </c>
      <c r="H5" s="32" t="n">
        <f aca="false">IF('Raw Data'!H15=0,"-",'Raw Data'!H5/'Raw Data'!H15)</f>
        <v>12.2589531680441</v>
      </c>
      <c r="I5" s="32" t="n">
        <f aca="false">IF('Raw Data'!I15=0,"-",'Raw Data'!I5/'Raw Data'!I15)</f>
        <v>11.9287833827893</v>
      </c>
      <c r="J5" s="33" t="n">
        <f aca="false">AVERAGE(B5:I5)</f>
        <v>12.0426784230478</v>
      </c>
      <c r="K5" s="33" t="n">
        <f aca="false">MEDIAN(B5:I5)</f>
        <v>12.0938682754167</v>
      </c>
      <c r="L5" s="33" t="n">
        <f aca="false">MIN(B5:I5)</f>
        <v>10.4863221884498</v>
      </c>
      <c r="M5" s="33" t="n">
        <f aca="false">MAX(B5:I5)</f>
        <v>12.9296875</v>
      </c>
      <c r="N5" s="20" t="s">
        <v>81</v>
      </c>
    </row>
    <row r="6" customFormat="false" ht="19.5" hidden="false" customHeight="true" outlineLevel="0" collapsed="false">
      <c r="A6" s="34" t="s">
        <v>82</v>
      </c>
      <c r="B6" s="35" t="n">
        <f aca="false">IF('Raw Data'!B16=0,"-",'Raw Data'!B5/'Raw Data'!B16)</f>
        <v>11.1627906976744</v>
      </c>
      <c r="C6" s="35" t="n">
        <f aca="false">IF('Raw Data'!C16=0,"-",'Raw Data'!C5/'Raw Data'!C16)</f>
        <v>11.2987012987013</v>
      </c>
      <c r="D6" s="35" t="n">
        <f aca="false">IF('Raw Data'!D16=0,"-",'Raw Data'!D5/'Raw Data'!D16)</f>
        <v>11.4137931034483</v>
      </c>
      <c r="E6" s="35" t="n">
        <f aca="false">IF('Raw Data'!E16=0,"-",'Raw Data'!E5/'Raw Data'!E16)</f>
        <v>11.5909090909091</v>
      </c>
      <c r="F6" s="35" t="n">
        <f aca="false">IF('Raw Data'!F16=0,"-",'Raw Data'!F5/'Raw Data'!F16)</f>
        <v>10.9183673469388</v>
      </c>
      <c r="G6" s="35" t="n">
        <f aca="false">IF('Raw Data'!G16=0,"-",'Raw Data'!G5/'Raw Data'!G16)</f>
        <v>9.58333333333333</v>
      </c>
      <c r="H6" s="35" t="n">
        <f aca="false">IF('Raw Data'!H16=0,"-",'Raw Data'!H5/'Raw Data'!H16)</f>
        <v>11.2658227848101</v>
      </c>
      <c r="I6" s="35" t="n">
        <f aca="false">IF('Raw Data'!I16=0,"-",'Raw Data'!I5/'Raw Data'!I16)</f>
        <v>11.013698630137</v>
      </c>
      <c r="J6" s="36" t="n">
        <f aca="false">AVERAGE(B6:I6)</f>
        <v>11.030927035744</v>
      </c>
      <c r="K6" s="36" t="n">
        <f aca="false">MEDIAN(B6:I6)</f>
        <v>11.2143067412423</v>
      </c>
      <c r="L6" s="36" t="n">
        <f aca="false">MIN(B6:I6)</f>
        <v>9.58333333333333</v>
      </c>
      <c r="M6" s="36" t="n">
        <f aca="false">MAX(B6:I6)</f>
        <v>11.5909090909091</v>
      </c>
      <c r="N6" s="20" t="s">
        <v>83</v>
      </c>
    </row>
    <row r="7" customFormat="false" ht="19.5" hidden="false" customHeight="true" outlineLevel="0" collapsed="false">
      <c r="A7" s="17" t="s">
        <v>84</v>
      </c>
      <c r="B7" s="32" t="n">
        <f aca="false">IF('Raw Data'!B17=0,"-",'Raw Data'!B5/'Raw Data'!B17)</f>
        <v>10.3359173126615</v>
      </c>
      <c r="C7" s="32" t="n">
        <f aca="false">IF('Raw Data'!C17=0,"-",'Raw Data'!C5/'Raw Data'!C17)</f>
        <v>10.4567307692308</v>
      </c>
      <c r="D7" s="32" t="n">
        <f aca="false">IF('Raw Data'!D17=0,"-",'Raw Data'!D5/'Raw Data'!D17)</f>
        <v>10.5750798722045</v>
      </c>
      <c r="E7" s="32" t="n">
        <f aca="false">IF('Raw Data'!E17=0,"-",'Raw Data'!E5/'Raw Data'!E17)</f>
        <v>10.7323232323232</v>
      </c>
      <c r="F7" s="32" t="n">
        <f aca="false">IF('Raw Data'!F17=0,"-",'Raw Data'!F5/'Raw Data'!F17)</f>
        <v>10.1134215500945</v>
      </c>
      <c r="G7" s="32" t="n">
        <f aca="false">IF('Raw Data'!G17=0,"-",'Raw Data'!G5/'Raw Data'!G17)</f>
        <v>8.86889460154242</v>
      </c>
      <c r="H7" s="32" t="n">
        <f aca="false">IF('Raw Data'!H17=0,"-",'Raw Data'!H5/'Raw Data'!H17)</f>
        <v>10.4215456674473</v>
      </c>
      <c r="I7" s="32" t="n">
        <f aca="false">IF('Raw Data'!I17=0,"-",'Raw Data'!I5/'Raw Data'!I17)</f>
        <v>10.2030456852792</v>
      </c>
      <c r="J7" s="33" t="n">
        <f aca="false">AVERAGE(B7:I7)</f>
        <v>10.2133698363479</v>
      </c>
      <c r="K7" s="33" t="n">
        <f aca="false">MEDIAN(B7:I7)</f>
        <v>10.3787314900544</v>
      </c>
      <c r="L7" s="33" t="n">
        <f aca="false">MIN(B7:I7)</f>
        <v>8.86889460154242</v>
      </c>
      <c r="M7" s="33" t="n">
        <f aca="false">MAX(B7:I7)</f>
        <v>10.7323232323232</v>
      </c>
      <c r="N7" s="20" t="s">
        <v>85</v>
      </c>
    </row>
    <row r="8" customFormat="false" ht="19.5" hidden="false" customHeight="true" outlineLevel="0" collapsed="false">
      <c r="A8" s="17" t="s">
        <v>86</v>
      </c>
      <c r="B8" s="37" t="n">
        <f aca="false">IF('Raw Data'!B15=0,"-",'Raw Data'!B16/'Raw Data'!B15-1)</f>
        <v>0.0669975186104219</v>
      </c>
      <c r="C8" s="37" t="n">
        <f aca="false">IF('Raw Data'!C15=0,"-",'Raw Data'!C16/'Raw Data'!C15-1)</f>
        <v>0.09375</v>
      </c>
      <c r="D8" s="37" t="n">
        <f aca="false">IF('Raw Data'!D15=0,"-",'Raw Data'!D16/'Raw Data'!D15-1)</f>
        <v>0.1328125</v>
      </c>
      <c r="E8" s="37" t="n">
        <f aca="false">IF('Raw Data'!E15=0,"-",'Raw Data'!E16/'Raw Data'!E15-1)</f>
        <v>0.0853478046373952</v>
      </c>
      <c r="F8" s="37" t="n">
        <f aca="false">IF('Raw Data'!F15=0,"-",'Raw Data'!F16/'Raw Data'!F15-1)</f>
        <v>0.088888888888889</v>
      </c>
      <c r="G8" s="37" t="n">
        <f aca="false">IF('Raw Data'!G15=0,"-",'Raw Data'!G16/'Raw Data'!G15-1)</f>
        <v>0.094224924012158</v>
      </c>
      <c r="H8" s="37" t="n">
        <f aca="false">IF('Raw Data'!H15=0,"-",'Raw Data'!H16/'Raw Data'!H15-1)</f>
        <v>0.0881542699724518</v>
      </c>
      <c r="I8" s="37" t="n">
        <f aca="false">IF('Raw Data'!I15=0,"-",'Raw Data'!I16/'Raw Data'!I15-1)</f>
        <v>0.0830860534124629</v>
      </c>
      <c r="J8" s="28" t="n">
        <f aca="false">AVERAGE(B8:I8)</f>
        <v>0.0916577449417224</v>
      </c>
      <c r="K8" s="28" t="n">
        <f aca="false">MEDIAN(B8:I8)</f>
        <v>0.0885215794306704</v>
      </c>
      <c r="L8" s="28" t="n">
        <f aca="false">MIN(B8:I8)</f>
        <v>0.0669975186104219</v>
      </c>
      <c r="M8" s="28" t="n">
        <f aca="false">MAX(B8:I8)</f>
        <v>0.1328125</v>
      </c>
      <c r="N8" s="20" t="s">
        <v>87</v>
      </c>
    </row>
    <row r="10" customFormat="false" ht="7.5" hidden="false" customHeight="true" outlineLevel="0" collapsed="false">
      <c r="A10" s="16" t="s">
        <v>88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customFormat="false" ht="19.5" hidden="false" customHeight="true" outlineLevel="0" collapsed="false">
      <c r="A11" s="17" t="s">
        <v>89</v>
      </c>
      <c r="B11" s="32" t="n">
        <f aca="false">IF('Raw Data'!B20=0,"-",'Raw Data'!B5/'Raw Data'!B20)</f>
        <v>2.21198156682028</v>
      </c>
      <c r="C11" s="32" t="n">
        <f aca="false">IF('Raw Data'!C20=0,"-",'Raw Data'!C5/'Raw Data'!C20)</f>
        <v>1.26453488372093</v>
      </c>
      <c r="D11" s="32" t="n">
        <f aca="false">IF('Raw Data'!D20=0,"-",'Raw Data'!D5/'Raw Data'!D20)</f>
        <v>1.23507462686567</v>
      </c>
      <c r="E11" s="32" t="n">
        <f aca="false">IF('Raw Data'!E20=0,"-",'Raw Data'!E5/'Raw Data'!E20)</f>
        <v>1.53107175022516</v>
      </c>
      <c r="F11" s="32" t="n">
        <f aca="false">IF('Raw Data'!F20=0,"-",'Raw Data'!F5/'Raw Data'!F20)</f>
        <v>1.71474358974359</v>
      </c>
      <c r="G11" s="32" t="n">
        <f aca="false">IF('Raw Data'!G20=0,"-",'Raw Data'!G5/'Raw Data'!G20)</f>
        <v>0.683168316831683</v>
      </c>
      <c r="H11" s="32" t="n">
        <f aca="false">IF('Raw Data'!H20=0,"-",'Raw Data'!H5/'Raw Data'!H20)</f>
        <v>1.41269841269841</v>
      </c>
      <c r="I11" s="32" t="n">
        <f aca="false">IF('Raw Data'!I20=0,"-",'Raw Data'!I5/'Raw Data'!I20)</f>
        <v>0.945882352941177</v>
      </c>
      <c r="J11" s="33" t="n">
        <f aca="false">AVERAGE(B11:I11)</f>
        <v>1.37489443748086</v>
      </c>
      <c r="K11" s="33" t="n">
        <f aca="false">MEDIAN(B11:I11)</f>
        <v>1.33861664820967</v>
      </c>
      <c r="L11" s="33" t="n">
        <f aca="false">MIN(B11:I11)</f>
        <v>0.683168316831683</v>
      </c>
      <c r="M11" s="33" t="n">
        <f aca="false">MAX(B11:I11)</f>
        <v>2.21198156682028</v>
      </c>
      <c r="N11" s="20" t="s">
        <v>90</v>
      </c>
    </row>
    <row r="12" customFormat="false" ht="19.5" hidden="false" customHeight="true" outlineLevel="0" collapsed="false">
      <c r="A12" s="34" t="s">
        <v>91</v>
      </c>
      <c r="B12" s="35" t="n">
        <f aca="false">IF('Raw Data'!B21=0,"-",'Raw Data'!B5/'Raw Data'!B21)</f>
        <v>2.57510729613734</v>
      </c>
      <c r="C12" s="35" t="n">
        <f aca="false">IF('Raw Data'!C21=0,"-",'Raw Data'!C5/'Raw Data'!C21)</f>
        <v>1.73306772908367</v>
      </c>
      <c r="D12" s="35" t="n">
        <f aca="false">IF('Raw Data'!D21=0,"-",'Raw Data'!D5/'Raw Data'!D21)</f>
        <v>1.60679611650485</v>
      </c>
      <c r="E12" s="35" t="n">
        <f aca="false">IF('Raw Data'!E21=0,"-",'Raw Data'!E5/'Raw Data'!E21)</f>
        <v>1.632</v>
      </c>
      <c r="F12" s="35" t="n">
        <f aca="false">IF('Raw Data'!F21=0,"-",'Raw Data'!F5/'Raw Data'!F21)</f>
        <v>2.0303605313093</v>
      </c>
      <c r="G12" s="35" t="n">
        <f aca="false">IF('Raw Data'!G21=0,"-",'Raw Data'!G5/'Raw Data'!G21)</f>
        <v>0.764119601328904</v>
      </c>
      <c r="H12" s="35" t="n">
        <f aca="false">IF('Raw Data'!H21=0,"-",'Raw Data'!H5/'Raw Data'!H21)</f>
        <v>1.80894308943089</v>
      </c>
      <c r="I12" s="35" t="n">
        <f aca="false">IF('Raw Data'!I21=0,"-",'Raw Data'!I5/'Raw Data'!I21)</f>
        <v>1.33112582781457</v>
      </c>
      <c r="J12" s="36" t="n">
        <f aca="false">AVERAGE(B12:I12)</f>
        <v>1.68519002395119</v>
      </c>
      <c r="K12" s="36" t="n">
        <f aca="false">MEDIAN(B12:I12)</f>
        <v>1.68253386454183</v>
      </c>
      <c r="L12" s="36" t="n">
        <f aca="false">MIN(B12:I12)</f>
        <v>0.764119601328904</v>
      </c>
      <c r="M12" s="36" t="n">
        <f aca="false">MAX(B12:I12)</f>
        <v>2.57510729613734</v>
      </c>
      <c r="N12" s="20" t="s">
        <v>92</v>
      </c>
    </row>
    <row r="13" customFormat="false" ht="19.5" hidden="false" customHeight="true" outlineLevel="0" collapsed="false">
      <c r="A13" s="17" t="s">
        <v>93</v>
      </c>
      <c r="B13" s="37" t="n">
        <f aca="false">'Raw Data'!B22/'Raw Data'!B5</f>
        <v>0.025</v>
      </c>
      <c r="C13" s="37" t="n">
        <f aca="false">'Raw Data'!C22/'Raw Data'!C5</f>
        <v>0.0250574712643678</v>
      </c>
      <c r="D13" s="37" t="n">
        <f aca="false">'Raw Data'!D22/'Raw Data'!D5</f>
        <v>0.0250755287009063</v>
      </c>
      <c r="E13" s="37" t="n">
        <f aca="false">'Raw Data'!E22/'Raw Data'!E5</f>
        <v>0.025</v>
      </c>
      <c r="F13" s="37" t="n">
        <f aca="false">'Raw Data'!F22/'Raw Data'!F5</f>
        <v>0.0250467289719626</v>
      </c>
      <c r="G13" s="37" t="n">
        <f aca="false">'Raw Data'!G22/'Raw Data'!G5</f>
        <v>0.0250724637681159</v>
      </c>
      <c r="H13" s="37" t="n">
        <f aca="false">'Raw Data'!H22/'Raw Data'!H5</f>
        <v>0.0249438202247191</v>
      </c>
      <c r="I13" s="37" t="n">
        <f aca="false">'Raw Data'!I22/'Raw Data'!I5</f>
        <v>0.0251243781094527</v>
      </c>
      <c r="J13" s="28" t="n">
        <f aca="false">AVERAGE(B13:I13)</f>
        <v>0.0250400488799406</v>
      </c>
      <c r="K13" s="28" t="n">
        <f aca="false">MEDIAN(B13:I13)</f>
        <v>0.0250521001181652</v>
      </c>
      <c r="L13" s="28" t="n">
        <f aca="false">MIN(B13:I13)</f>
        <v>0.0249438202247191</v>
      </c>
      <c r="M13" s="28" t="n">
        <f aca="false">MAX(B13:I13)</f>
        <v>0.0251243781094527</v>
      </c>
      <c r="N13" s="20" t="s">
        <v>94</v>
      </c>
    </row>
    <row r="15" customFormat="false" ht="7.5" hidden="false" customHeight="true" outlineLevel="0" collapsed="false">
      <c r="A15" s="16" t="s">
        <v>95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customFormat="false" ht="19.5" hidden="false" customHeight="true" outlineLevel="0" collapsed="false">
      <c r="A16" s="17" t="s">
        <v>96</v>
      </c>
      <c r="B16" s="32" t="n">
        <f aca="false">IF('Raw Data'!B13=0,"-",'Raw Data'!B10/'Raw Data'!B13)</f>
        <v>1.35733147712332</v>
      </c>
      <c r="C16" s="32" t="n">
        <f aca="false">IF('Raw Data'!C13=0,"-",'Raw Data'!C10/'Raw Data'!C13)</f>
        <v>2.11204347076773</v>
      </c>
      <c r="D16" s="32" t="n">
        <f aca="false">IF('Raw Data'!D13=0,"-",'Raw Data'!D10/'Raw Data'!D13)</f>
        <v>2.13338014515491</v>
      </c>
      <c r="E16" s="32" t="n">
        <f aca="false">IF('Raw Data'!E13=0,"-",'Raw Data'!E10/'Raw Data'!E13)</f>
        <v>3.36709579159815</v>
      </c>
      <c r="F16" s="32" t="n">
        <f aca="false">IF('Raw Data'!F13=0,"-",'Raw Data'!F10/'Raw Data'!F13)</f>
        <v>3.1907300179632</v>
      </c>
      <c r="G16" s="32" t="n">
        <f aca="false">IF('Raw Data'!G13=0,"-",'Raw Data'!G10/'Raw Data'!G13)</f>
        <v>2.7912069478539</v>
      </c>
      <c r="H16" s="32" t="n">
        <f aca="false">IF('Raw Data'!H13=0,"-",'Raw Data'!H10/'Raw Data'!H13)</f>
        <v>1.63354826154645</v>
      </c>
      <c r="I16" s="32" t="n">
        <f aca="false">IF('Raw Data'!I13=0,"-",'Raw Data'!I10/'Raw Data'!I13)</f>
        <v>1.93351900990099</v>
      </c>
      <c r="J16" s="33" t="n">
        <f aca="false">AVERAGE(B16:I16)</f>
        <v>2.31485689023858</v>
      </c>
      <c r="K16" s="33" t="n">
        <f aca="false">MEDIAN(B16:I16)</f>
        <v>2.12271180796132</v>
      </c>
      <c r="L16" s="33" t="n">
        <f aca="false">MIN(B16:I16)</f>
        <v>1.35733147712332</v>
      </c>
      <c r="M16" s="33" t="n">
        <f aca="false">MAX(B16:I16)</f>
        <v>3.36709579159815</v>
      </c>
      <c r="N16" s="20" t="s">
        <v>97</v>
      </c>
    </row>
    <row r="17" customFormat="false" ht="19.5" hidden="false" customHeight="true" outlineLevel="0" collapsed="false">
      <c r="A17" s="17" t="s">
        <v>98</v>
      </c>
      <c r="B17" s="32" t="n">
        <f aca="false">IF('Raw Data'!B14=0,"-",'Raw Data'!B10/'Raw Data'!B14)</f>
        <v>4.20201467394093</v>
      </c>
      <c r="C17" s="32" t="n">
        <f aca="false">IF('Raw Data'!C14=0,"-",'Raw Data'!C10/'Raw Data'!C14)</f>
        <v>7.67882053739265</v>
      </c>
      <c r="D17" s="32" t="n">
        <f aca="false">IF('Raw Data'!D14=0,"-",'Raw Data'!D10/'Raw Data'!D14)</f>
        <v>8.48019418952492</v>
      </c>
      <c r="E17" s="32" t="n">
        <f aca="false">IF('Raw Data'!E14=0,"-",'Raw Data'!E10/'Raw Data'!E14)</f>
        <v>12.6176491596639</v>
      </c>
      <c r="F17" s="32" t="n">
        <f aca="false">IF('Raw Data'!F14=0,"-",'Raw Data'!F10/'Raw Data'!F14)</f>
        <v>14.2254531024531</v>
      </c>
      <c r="G17" s="32" t="n">
        <f aca="false">IF('Raw Data'!G14=0,"-",'Raw Data'!G10/'Raw Data'!G14)</f>
        <v>17.7340031508468</v>
      </c>
      <c r="H17" s="32" t="n">
        <f aca="false">IF('Raw Data'!H14=0,"-",'Raw Data'!H10/'Raw Data'!H14)</f>
        <v>7.7315552631579</v>
      </c>
      <c r="I17" s="32" t="n">
        <f aca="false">IF('Raw Data'!I14=0,"-",'Raw Data'!I10/'Raw Data'!I14)</f>
        <v>8.17093807531381</v>
      </c>
      <c r="J17" s="33" t="n">
        <f aca="false">AVERAGE(B17:I17)</f>
        <v>10.1050785190367</v>
      </c>
      <c r="K17" s="33" t="n">
        <f aca="false">MEDIAN(B17:I17)</f>
        <v>8.32556613241937</v>
      </c>
      <c r="L17" s="33" t="n">
        <f aca="false">MIN(B17:I17)</f>
        <v>4.20201467394093</v>
      </c>
      <c r="M17" s="33" t="n">
        <f aca="false">MAX(B17:I17)</f>
        <v>17.7340031508468</v>
      </c>
      <c r="N17" s="20" t="s">
        <v>99</v>
      </c>
    </row>
    <row r="19" customFormat="false" ht="7.5" hidden="false" customHeight="true" outlineLevel="0" collapsed="false">
      <c r="A19" s="16" t="s">
        <v>100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customFormat="false" ht="18" hidden="false" customHeight="true" outlineLevel="0" collapsed="false">
      <c r="A20" s="17" t="s">
        <v>101</v>
      </c>
      <c r="B20" s="37" t="n">
        <f aca="false">'Raw Data'!B26</f>
        <v>0.208</v>
      </c>
      <c r="C20" s="37" t="n">
        <f aca="false">'Raw Data'!C26</f>
        <v>0.128</v>
      </c>
      <c r="D20" s="37" t="n">
        <f aca="false">'Raw Data'!D26</f>
        <v>0.148</v>
      </c>
      <c r="E20" s="37" t="n">
        <f aca="false">'Raw Data'!E26</f>
        <v>0.133</v>
      </c>
      <c r="F20" s="37" t="n">
        <f aca="false">'Raw Data'!F26</f>
        <v>0.168</v>
      </c>
      <c r="G20" s="37" t="n">
        <f aca="false">'Raw Data'!G26</f>
        <v>0.075</v>
      </c>
      <c r="H20" s="37" t="n">
        <f aca="false">'Raw Data'!H26</f>
        <v>0.165</v>
      </c>
      <c r="I20" s="37" t="n">
        <f aca="false">'Raw Data'!I26</f>
        <v>0.14</v>
      </c>
      <c r="J20" s="28" t="n">
        <f aca="false">AVERAGE(B20:I20)</f>
        <v>0.145625</v>
      </c>
      <c r="K20" s="28" t="n">
        <f aca="false">MEDIAN(B20:I20)</f>
        <v>0.144</v>
      </c>
      <c r="L20" s="28" t="n">
        <f aca="false">MIN(B20:I20)</f>
        <v>0.075</v>
      </c>
      <c r="M20" s="28" t="n">
        <f aca="false">MAX(B20:I20)</f>
        <v>0.208</v>
      </c>
    </row>
    <row r="21" customFormat="false" ht="18" hidden="false" customHeight="true" outlineLevel="0" collapsed="false">
      <c r="A21" s="17" t="s">
        <v>102</v>
      </c>
      <c r="B21" s="37" t="n">
        <f aca="false">'Raw Data'!B27</f>
        <v>0.541</v>
      </c>
      <c r="C21" s="37" t="n">
        <f aca="false">'Raw Data'!C27</f>
        <v>0.648</v>
      </c>
      <c r="D21" s="37" t="n">
        <f aca="false">'Raw Data'!D27</f>
        <v>0.638</v>
      </c>
      <c r="E21" s="37" t="n">
        <f aca="false">'Raw Data'!E27</f>
        <v>0.604</v>
      </c>
      <c r="F21" s="37" t="n">
        <f aca="false">'Raw Data'!F27</f>
        <v>0.711</v>
      </c>
      <c r="G21" s="37" t="n">
        <f aca="false">'Raw Data'!G27</f>
        <v>0.672</v>
      </c>
      <c r="H21" s="37" t="n">
        <f aca="false">'Raw Data'!H27</f>
        <v>0.598</v>
      </c>
      <c r="I21" s="37" t="n">
        <f aca="false">'Raw Data'!I27</f>
        <v>0.622</v>
      </c>
      <c r="J21" s="28" t="n">
        <f aca="false">AVERAGE(B21:I21)</f>
        <v>0.62925</v>
      </c>
      <c r="K21" s="28" t="n">
        <f aca="false">MEDIAN(B21:I21)</f>
        <v>0.63</v>
      </c>
      <c r="L21" s="28" t="n">
        <f aca="false">MIN(B21:I21)</f>
        <v>0.541</v>
      </c>
      <c r="M21" s="28" t="n">
        <f aca="false">MAX(B21:I21)</f>
        <v>0.711</v>
      </c>
    </row>
    <row r="22" customFormat="false" ht="18" hidden="false" customHeight="true" outlineLevel="0" collapsed="false">
      <c r="A22" s="17" t="s">
        <v>71</v>
      </c>
      <c r="B22" s="38" t="n">
        <f aca="false">'Raw Data'!B28</f>
        <v>0.0282</v>
      </c>
      <c r="C22" s="38" t="n">
        <f aca="false">'Raw Data'!C28</f>
        <v>0.0195</v>
      </c>
      <c r="D22" s="38" t="n">
        <f aca="false">'Raw Data'!D28</f>
        <v>0.0269</v>
      </c>
      <c r="E22" s="38" t="str">
        <f aca="false">'Raw Data'!E28</f>
        <v>N/A</v>
      </c>
      <c r="F22" s="38" t="str">
        <f aca="false">'Raw Data'!F28</f>
        <v>N/A</v>
      </c>
      <c r="G22" s="38" t="n">
        <f aca="false">'Raw Data'!G28</f>
        <v>0.0239</v>
      </c>
      <c r="H22" s="38" t="n">
        <f aca="false">'Raw Data'!H28</f>
        <v>0.0289</v>
      </c>
      <c r="I22" s="38" t="n">
        <f aca="false">'Raw Data'!I28</f>
        <v>0.0305</v>
      </c>
      <c r="J22" s="31" t="n">
        <f aca="false">AVERAGE(B22:I22)</f>
        <v>0.0263166666666667</v>
      </c>
      <c r="K22" s="31" t="n">
        <f aca="false">MEDIAN(B22:I22)</f>
        <v>0.02755</v>
      </c>
      <c r="L22" s="31" t="n">
        <f aca="false">MIN(B22:I22)</f>
        <v>0.0195</v>
      </c>
      <c r="M22" s="31" t="n">
        <f aca="false">MAX(B22:I22)</f>
        <v>0.0305</v>
      </c>
    </row>
    <row r="23" customFormat="false" ht="18" hidden="false" customHeight="true" outlineLevel="0" collapsed="false">
      <c r="A23" s="17" t="s">
        <v>103</v>
      </c>
      <c r="B23" s="37" t="n">
        <f aca="false">'Raw Data'!B29</f>
        <v>0.155</v>
      </c>
      <c r="C23" s="37" t="n">
        <f aca="false">'Raw Data'!C29</f>
        <v>0.136</v>
      </c>
      <c r="D23" s="37" t="n">
        <f aca="false">'Raw Data'!D29</f>
        <v>0.118</v>
      </c>
      <c r="E23" s="37" t="n">
        <f aca="false">'Raw Data'!E29</f>
        <v>0.148</v>
      </c>
      <c r="F23" s="37" t="n">
        <f aca="false">'Raw Data'!F29</f>
        <v>0.155</v>
      </c>
      <c r="G23" s="37" t="n">
        <f aca="false">'Raw Data'!G29</f>
        <v>0.136</v>
      </c>
      <c r="H23" s="37" t="n">
        <f aca="false">'Raw Data'!H29</f>
        <v>0.104</v>
      </c>
      <c r="I23" s="37" t="n">
        <f aca="false">'Raw Data'!I29</f>
        <v>0.108</v>
      </c>
      <c r="J23" s="28" t="n">
        <f aca="false">AVERAGE(B23:I23)</f>
        <v>0.1325</v>
      </c>
      <c r="K23" s="28" t="n">
        <f aca="false">MEDIAN(B23:I23)</f>
        <v>0.136</v>
      </c>
      <c r="L23" s="28" t="n">
        <f aca="false">MIN(B23:I23)</f>
        <v>0.104</v>
      </c>
      <c r="M23" s="28" t="n">
        <f aca="false">MAX(B23:I23)</f>
        <v>0.155</v>
      </c>
    </row>
    <row r="24" customFormat="false" ht="13.5" hidden="false" customHeight="true" outlineLevel="0" collapsed="false">
      <c r="A24" s="39" t="s">
        <v>104</v>
      </c>
    </row>
  </sheetData>
  <mergeCells count="5">
    <mergeCell ref="A1:M1"/>
    <mergeCell ref="A4:M4"/>
    <mergeCell ref="A10:M10"/>
    <mergeCell ref="A15:M15"/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4"/>
    <col collapsed="false" customWidth="true" hidden="false" outlineLevel="0" max="12" min="12" style="0" width="26"/>
  </cols>
  <sheetData>
    <row r="1" customFormat="false" ht="25.5" hidden="false" customHeight="true" outlineLevel="0" collapsed="false">
      <c r="A1" s="11" t="s">
        <v>105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7.5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customFormat="false" ht="19.5" hidden="false" customHeight="true" outlineLevel="0" collapsed="false">
      <c r="A3" s="40" t="s">
        <v>106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5" customFormat="false" ht="7.5" hidden="false" customHeight="true" outlineLevel="0" collapsed="false">
      <c r="A5" s="16" t="s">
        <v>107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customFormat="false" ht="21.75" hidden="false" customHeight="true" outlineLevel="0" collapsed="false">
      <c r="A6" s="41" t="s">
        <v>108</v>
      </c>
      <c r="B6" s="42" t="s">
        <v>3</v>
      </c>
      <c r="L6" s="39" t="s">
        <v>109</v>
      </c>
    </row>
    <row r="8" customFormat="false" ht="7.5" hidden="false" customHeight="true" outlineLevel="0" collapsed="false">
      <c r="A8" s="16" t="s">
        <v>110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customFormat="false" ht="18" hidden="false" customHeight="true" outlineLevel="0" collapsed="false">
      <c r="A9" s="17" t="s">
        <v>111</v>
      </c>
      <c r="B9" s="43" t="str">
        <f aca="false">B6</f>
        <v>JPM</v>
      </c>
    </row>
    <row r="10" customFormat="false" ht="18" hidden="false" customHeight="true" outlineLevel="0" collapsed="false">
      <c r="A10" s="17" t="s">
        <v>112</v>
      </c>
      <c r="B10" s="43" t="str">
        <f aca="false">IFERROR(VLOOKUP(B6,$K$40:$L$47,2,0),"Unknown")</f>
        <v>JPMorgan Chase</v>
      </c>
    </row>
    <row r="11" customFormat="false" ht="18" hidden="false" customHeight="true" outlineLevel="0" collapsed="false">
      <c r="A11" s="17" t="s">
        <v>113</v>
      </c>
      <c r="B11" s="44" t="n">
        <f aca="false">INDEX('Raw Data'!B5:I5,MATCH(B6,'Raw Data'!B3:I3,0))</f>
        <v>240</v>
      </c>
    </row>
    <row r="12" customFormat="false" ht="18" hidden="false" customHeight="true" outlineLevel="0" collapsed="false">
      <c r="A12" s="17" t="s">
        <v>114</v>
      </c>
      <c r="B12" s="44" t="n">
        <f aca="false">INDEX('Raw Data'!B16:I16,MATCH(B6,'Raw Data'!B3:I3,0))</f>
        <v>21.5</v>
      </c>
    </row>
    <row r="13" customFormat="false" ht="18" hidden="false" customHeight="true" outlineLevel="0" collapsed="false">
      <c r="A13" s="17" t="s">
        <v>115</v>
      </c>
      <c r="B13" s="44" t="n">
        <f aca="false">INDEX('Raw Data'!B17:I17,MATCH(B6,'Raw Data'!B3:I3,0))</f>
        <v>23.22</v>
      </c>
    </row>
    <row r="14" customFormat="false" ht="18" hidden="false" customHeight="true" outlineLevel="0" collapsed="false">
      <c r="A14" s="17" t="s">
        <v>58</v>
      </c>
      <c r="B14" s="44" t="n">
        <f aca="false">INDEX('Raw Data'!B20:I20,MATCH(B6,'Raw Data'!B3:I3,0))</f>
        <v>108.5</v>
      </c>
    </row>
    <row r="15" customFormat="false" ht="18" hidden="false" customHeight="true" outlineLevel="0" collapsed="false">
      <c r="A15" s="17" t="s">
        <v>116</v>
      </c>
      <c r="B15" s="44" t="n">
        <f aca="false">INDEX('Raw Data'!B21:I21,MATCH(B6,'Raw Data'!B3:I3,0))</f>
        <v>93.2</v>
      </c>
    </row>
    <row r="17" customFormat="false" ht="7.5" hidden="false" customHeight="true" outlineLevel="0" collapsed="false">
      <c r="A17" s="16" t="s">
        <v>117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customFormat="false" ht="21.75" hidden="false" customHeight="true" outlineLevel="0" collapsed="false">
      <c r="A18" s="45" t="s">
        <v>118</v>
      </c>
      <c r="B18" s="45" t="s">
        <v>119</v>
      </c>
      <c r="C18" s="45" t="s">
        <v>120</v>
      </c>
      <c r="D18" s="45" t="s">
        <v>121</v>
      </c>
      <c r="E18" s="45" t="s">
        <v>122</v>
      </c>
      <c r="F18" s="45" t="s">
        <v>123</v>
      </c>
      <c r="G18" s="45" t="s">
        <v>124</v>
      </c>
      <c r="H18" s="45" t="s">
        <v>125</v>
      </c>
      <c r="I18" s="45" t="s">
        <v>126</v>
      </c>
      <c r="J18" s="45" t="s">
        <v>127</v>
      </c>
      <c r="K18" s="45" t="s">
        <v>128</v>
      </c>
    </row>
    <row r="19" customFormat="false" ht="19.5" hidden="false" customHeight="true" outlineLevel="0" collapsed="false">
      <c r="A19" s="46" t="s">
        <v>129</v>
      </c>
      <c r="B19" s="47" t="s">
        <v>130</v>
      </c>
      <c r="C19" s="48" t="n">
        <f aca="false">QUARTILE('Trading Multiples'!B6:I6,1)</f>
        <v>10.9898658093374</v>
      </c>
      <c r="D19" s="49" t="n">
        <f aca="false">C19*B12</f>
        <v>236.282114900755</v>
      </c>
      <c r="E19" s="50" t="n">
        <f aca="false">MEDIAN('Trading Multiples'!B6:I6)</f>
        <v>11.2143067412423</v>
      </c>
      <c r="F19" s="51" t="n">
        <f aca="false">E19*B12</f>
        <v>241.107594936709</v>
      </c>
      <c r="G19" s="48" t="n">
        <f aca="false">QUARTILE('Trading Multiples'!B6:I6,3)</f>
        <v>11.327474249888</v>
      </c>
      <c r="H19" s="49" t="n">
        <f aca="false">G19*B12</f>
        <v>243.540696372593</v>
      </c>
      <c r="I19" s="44" t="n">
        <f aca="false">B11</f>
        <v>240</v>
      </c>
      <c r="J19" s="28" t="n">
        <f aca="false">IF(F19=0,0,B11/F19-1)</f>
        <v>-0.00459377871111688</v>
      </c>
      <c r="K19" s="20" t="s">
        <v>131</v>
      </c>
    </row>
    <row r="20" customFormat="false" ht="19.5" hidden="false" customHeight="true" outlineLevel="0" collapsed="false">
      <c r="A20" s="46" t="s">
        <v>132</v>
      </c>
      <c r="B20" s="47" t="s">
        <v>133</v>
      </c>
      <c r="C20" s="48" t="n">
        <f aca="false">QUARTILE('Trading Multiples'!B12:I12,1)</f>
        <v>1.53787854433228</v>
      </c>
      <c r="D20" s="49" t="n">
        <f aca="false">C20*B15</f>
        <v>143.330280331769</v>
      </c>
      <c r="E20" s="50" t="n">
        <f aca="false">MEDIAN('Trading Multiples'!B12:I12)</f>
        <v>1.68253386454183</v>
      </c>
      <c r="F20" s="51" t="n">
        <f aca="false">E20*B15</f>
        <v>156.812156175299</v>
      </c>
      <c r="G20" s="48" t="n">
        <f aca="false">QUARTILE('Trading Multiples'!B12:I12,3)</f>
        <v>1.8642974499005</v>
      </c>
      <c r="H20" s="49" t="n">
        <f aca="false">G20*B15</f>
        <v>173.752522330726</v>
      </c>
      <c r="I20" s="44" t="n">
        <f aca="false">B11</f>
        <v>240</v>
      </c>
      <c r="J20" s="28" t="n">
        <f aca="false">IF(F20=0,0,B11/F20-1)</f>
        <v>0.530493590890405</v>
      </c>
      <c r="K20" s="20" t="s">
        <v>134</v>
      </c>
    </row>
    <row r="21" customFormat="false" ht="19.5" hidden="false" customHeight="true" outlineLevel="0" collapsed="false">
      <c r="A21" s="46" t="s">
        <v>135</v>
      </c>
      <c r="B21" s="47" t="s">
        <v>136</v>
      </c>
      <c r="C21" s="48" t="n">
        <f aca="false">QUARTILE('Trading Multiples'!B11:I11,1)</f>
        <v>1.16277655838455</v>
      </c>
      <c r="D21" s="49" t="n">
        <f aca="false">C21*B14</f>
        <v>126.161256584723</v>
      </c>
      <c r="E21" s="50" t="n">
        <f aca="false">MEDIAN('Trading Multiples'!B11:I11)</f>
        <v>1.33861664820967</v>
      </c>
      <c r="F21" s="51" t="n">
        <f aca="false">E21*B14</f>
        <v>145.239906330749</v>
      </c>
      <c r="G21" s="48" t="n">
        <f aca="false">QUARTILE('Trading Multiples'!B11:I11,3)</f>
        <v>1.57698971010477</v>
      </c>
      <c r="H21" s="49" t="n">
        <f aca="false">G21*B14</f>
        <v>171.103383546367</v>
      </c>
      <c r="I21" s="44" t="n">
        <f aca="false">B11</f>
        <v>240</v>
      </c>
      <c r="J21" s="28" t="n">
        <f aca="false">IF(F21=0,0,B11/F21-1)</f>
        <v>0.652438410786751</v>
      </c>
      <c r="K21" s="20" t="s">
        <v>137</v>
      </c>
    </row>
    <row r="23" customFormat="false" ht="13.5" hidden="false" customHeight="true" outlineLevel="0" collapsed="false">
      <c r="A23" s="39" t="s">
        <v>138</v>
      </c>
    </row>
    <row r="24" customFormat="false" ht="13.5" hidden="false" customHeight="true" outlineLevel="0" collapsed="false">
      <c r="A24" s="39" t="s">
        <v>139</v>
      </c>
    </row>
    <row r="40" customFormat="false" ht="15" hidden="false" customHeight="true" outlineLevel="0" collapsed="false">
      <c r="K40" s="52" t="s">
        <v>3</v>
      </c>
      <c r="L40" s="52" t="s">
        <v>4</v>
      </c>
    </row>
    <row r="41" customFormat="false" ht="15" hidden="false" customHeight="true" outlineLevel="0" collapsed="false">
      <c r="K41" s="52" t="s">
        <v>5</v>
      </c>
      <c r="L41" s="52" t="s">
        <v>6</v>
      </c>
    </row>
    <row r="42" customFormat="false" ht="15" hidden="false" customHeight="true" outlineLevel="0" collapsed="false">
      <c r="K42" s="52" t="s">
        <v>7</v>
      </c>
      <c r="L42" s="52" t="s">
        <v>8</v>
      </c>
    </row>
    <row r="43" customFormat="false" ht="15" hidden="false" customHeight="true" outlineLevel="0" collapsed="false">
      <c r="K43" s="52" t="s">
        <v>9</v>
      </c>
      <c r="L43" s="52" t="s">
        <v>10</v>
      </c>
    </row>
    <row r="44" customFormat="false" ht="15" hidden="false" customHeight="true" outlineLevel="0" collapsed="false">
      <c r="K44" s="52" t="s">
        <v>11</v>
      </c>
      <c r="L44" s="52" t="s">
        <v>12</v>
      </c>
    </row>
    <row r="45" customFormat="false" ht="15" hidden="false" customHeight="true" outlineLevel="0" collapsed="false">
      <c r="K45" s="52" t="s">
        <v>13</v>
      </c>
      <c r="L45" s="52" t="s">
        <v>14</v>
      </c>
    </row>
    <row r="46" customFormat="false" ht="15" hidden="false" customHeight="true" outlineLevel="0" collapsed="false">
      <c r="K46" s="52" t="s">
        <v>15</v>
      </c>
      <c r="L46" s="52" t="s">
        <v>16</v>
      </c>
    </row>
    <row r="47" customFormat="false" ht="15" hidden="false" customHeight="true" outlineLevel="0" collapsed="false">
      <c r="K47" s="52" t="s">
        <v>17</v>
      </c>
      <c r="L47" s="52" t="s">
        <v>18</v>
      </c>
    </row>
  </sheetData>
  <mergeCells count="5">
    <mergeCell ref="A1:K1"/>
    <mergeCell ref="A3:K3"/>
    <mergeCell ref="A5:K5"/>
    <mergeCell ref="A8:K8"/>
    <mergeCell ref="A17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8"/>
  </cols>
  <sheetData>
    <row r="1" customFormat="false" ht="25.5" hidden="false" customHeight="true" outlineLevel="0" collapsed="false">
      <c r="A1" s="11" t="s">
        <v>140</v>
      </c>
      <c r="B1" s="11"/>
      <c r="C1" s="11"/>
      <c r="D1" s="11"/>
      <c r="E1" s="11"/>
    </row>
    <row r="2" customFormat="false" ht="7.5" hidden="false" customHeight="true" outlineLevel="0" collapsed="false">
      <c r="A2" s="12"/>
      <c r="B2" s="12"/>
      <c r="C2" s="12"/>
      <c r="D2" s="12"/>
      <c r="E2" s="12"/>
    </row>
    <row r="3" customFormat="false" ht="19.5" hidden="false" customHeight="true" outlineLevel="0" collapsed="false">
      <c r="A3" s="14" t="s">
        <v>141</v>
      </c>
      <c r="B3" s="14" t="s">
        <v>142</v>
      </c>
      <c r="C3" s="45" t="s">
        <v>143</v>
      </c>
      <c r="D3" s="45" t="s">
        <v>144</v>
      </c>
      <c r="E3" s="14" t="s">
        <v>145</v>
      </c>
    </row>
    <row r="4" customFormat="false" ht="18" hidden="false" customHeight="true" outlineLevel="0" collapsed="false">
      <c r="A4" s="53" t="s">
        <v>3</v>
      </c>
      <c r="B4" s="52" t="s">
        <v>4</v>
      </c>
      <c r="C4" s="38" t="n">
        <f aca="false">'Raw Data'!B26</f>
        <v>0.208</v>
      </c>
      <c r="D4" s="32" t="n">
        <f aca="false">'Trading Multiples'!B12</f>
        <v>2.57510729613734</v>
      </c>
      <c r="E4" s="32" t="n">
        <f aca="false">'Trading Multiples'!B6</f>
        <v>11.1627906976744</v>
      </c>
    </row>
    <row r="5" customFormat="false" ht="18" hidden="false" customHeight="true" outlineLevel="0" collapsed="false">
      <c r="A5" s="53" t="s">
        <v>5</v>
      </c>
      <c r="B5" s="52" t="s">
        <v>6</v>
      </c>
      <c r="C5" s="38" t="n">
        <f aca="false">'Raw Data'!C26</f>
        <v>0.128</v>
      </c>
      <c r="D5" s="32" t="n">
        <f aca="false">'Trading Multiples'!C12</f>
        <v>1.73306772908367</v>
      </c>
      <c r="E5" s="32" t="n">
        <f aca="false">'Trading Multiples'!C6</f>
        <v>11.2987012987013</v>
      </c>
    </row>
    <row r="6" customFormat="false" ht="18" hidden="false" customHeight="true" outlineLevel="0" collapsed="false">
      <c r="A6" s="53" t="s">
        <v>7</v>
      </c>
      <c r="B6" s="52" t="s">
        <v>8</v>
      </c>
      <c r="C6" s="38" t="n">
        <f aca="false">'Raw Data'!D26</f>
        <v>0.148</v>
      </c>
      <c r="D6" s="32" t="n">
        <f aca="false">'Trading Multiples'!D12</f>
        <v>1.60679611650485</v>
      </c>
      <c r="E6" s="32" t="n">
        <f aca="false">'Trading Multiples'!D6</f>
        <v>11.4137931034483</v>
      </c>
    </row>
    <row r="7" customFormat="false" ht="18" hidden="false" customHeight="true" outlineLevel="0" collapsed="false">
      <c r="A7" s="53" t="s">
        <v>9</v>
      </c>
      <c r="B7" s="52" t="s">
        <v>10</v>
      </c>
      <c r="C7" s="38" t="n">
        <f aca="false">'Raw Data'!E26</f>
        <v>0.133</v>
      </c>
      <c r="D7" s="32" t="n">
        <f aca="false">'Trading Multiples'!E12</f>
        <v>1.632</v>
      </c>
      <c r="E7" s="32" t="n">
        <f aca="false">'Trading Multiples'!E6</f>
        <v>11.5909090909091</v>
      </c>
    </row>
    <row r="8" customFormat="false" ht="18" hidden="false" customHeight="true" outlineLevel="0" collapsed="false">
      <c r="A8" s="53" t="s">
        <v>11</v>
      </c>
      <c r="B8" s="52" t="s">
        <v>12</v>
      </c>
      <c r="C8" s="38" t="n">
        <f aca="false">'Raw Data'!F26</f>
        <v>0.168</v>
      </c>
      <c r="D8" s="32" t="n">
        <f aca="false">'Trading Multiples'!F12</f>
        <v>2.0303605313093</v>
      </c>
      <c r="E8" s="32" t="n">
        <f aca="false">'Trading Multiples'!F6</f>
        <v>10.9183673469388</v>
      </c>
    </row>
    <row r="9" customFormat="false" ht="18" hidden="false" customHeight="true" outlineLevel="0" collapsed="false">
      <c r="A9" s="53" t="s">
        <v>13</v>
      </c>
      <c r="B9" s="52" t="s">
        <v>14</v>
      </c>
      <c r="C9" s="38" t="n">
        <f aca="false">'Raw Data'!G26</f>
        <v>0.075</v>
      </c>
      <c r="D9" s="32" t="n">
        <f aca="false">'Trading Multiples'!G12</f>
        <v>0.764119601328904</v>
      </c>
      <c r="E9" s="32" t="n">
        <f aca="false">'Trading Multiples'!G6</f>
        <v>9.58333333333333</v>
      </c>
    </row>
    <row r="10" customFormat="false" ht="18" hidden="false" customHeight="true" outlineLevel="0" collapsed="false">
      <c r="A10" s="53" t="s">
        <v>15</v>
      </c>
      <c r="B10" s="52" t="s">
        <v>16</v>
      </c>
      <c r="C10" s="38" t="n">
        <f aca="false">'Raw Data'!H26</f>
        <v>0.165</v>
      </c>
      <c r="D10" s="32" t="n">
        <f aca="false">'Trading Multiples'!H12</f>
        <v>1.80894308943089</v>
      </c>
      <c r="E10" s="32" t="n">
        <f aca="false">'Trading Multiples'!H6</f>
        <v>11.2658227848101</v>
      </c>
    </row>
    <row r="11" customFormat="false" ht="18" hidden="false" customHeight="true" outlineLevel="0" collapsed="false">
      <c r="A11" s="53" t="s">
        <v>17</v>
      </c>
      <c r="B11" s="52" t="s">
        <v>18</v>
      </c>
      <c r="C11" s="38" t="n">
        <f aca="false">'Raw Data'!I26</f>
        <v>0.14</v>
      </c>
      <c r="D11" s="32" t="n">
        <f aca="false">'Trading Multiples'!I12</f>
        <v>1.33112582781457</v>
      </c>
      <c r="E11" s="32" t="n">
        <f aca="false">'Trading Multiples'!I6</f>
        <v>11.013698630137</v>
      </c>
    </row>
    <row r="13" customFormat="false" ht="7.5" hidden="false" customHeight="true" outlineLevel="0" collapsed="false">
      <c r="A13" s="16" t="s">
        <v>146</v>
      </c>
      <c r="B13" s="16"/>
      <c r="C13" s="16"/>
      <c r="D13" s="16"/>
      <c r="E13" s="16"/>
    </row>
    <row r="14" customFormat="false" ht="27.75" hidden="false" customHeight="true" outlineLevel="0" collapsed="false">
      <c r="A14" s="40" t="s">
        <v>147</v>
      </c>
      <c r="B14" s="40"/>
      <c r="C14" s="40"/>
      <c r="D14" s="40"/>
      <c r="E14" s="40"/>
    </row>
  </sheetData>
  <mergeCells count="3">
    <mergeCell ref="A1:E1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2026-04-14T00:11:37Z</dcterms:created>
  <dc:creator>openpyxl</dc:creator>
  <dc:description/>
  <dc:language>en-US</dc:language>
  <cp:lastModifiedBy/>
  <dcterms:modified xsi:type="dcterms:W3CDTF">2026-04-14T00:11:37Z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