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eal Terms" sheetId="2" state="visible" r:id="rId4"/>
    <sheet name="Standalone Financials" sheetId="3" state="visible" r:id="rId5"/>
    <sheet name="Synergies" sheetId="4" state="visible" r:id="rId6"/>
    <sheet name="Accretion Dilution" sheetId="5" state="visible" r:id="rId7"/>
    <sheet name="Sensitiv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<sst xmlns="http://schemas.openxmlformats.org/spreadsheetml/2006/main" count="190" uniqueCount="177">
  <si>
    <t xml:space="preserve">JPMORGAN CHASE ACQUIRES
CHARLES SCHWAB CORP.</t>
  </si>
  <si>
    <t xml:space="preserve">Merger &amp; Acquisition (M&amp;A) Model  |  Hypothetical Strategic Acquisition  |  Portfolio Model  |  April 2026</t>
  </si>
  <si>
    <t xml:space="preserve">TRANSACTION SUMMARY</t>
  </si>
  <si>
    <t xml:space="preserve">Acquirer</t>
  </si>
  <si>
    <t xml:space="preserve">JPMorgan Chase &amp; Co. (JPM)</t>
  </si>
  <si>
    <t xml:space="preserve">Target</t>
  </si>
  <si>
    <t xml:space="preserve">The Charles Schwab Corp. (SCHW)</t>
  </si>
  <si>
    <t xml:space="preserve">Deal Structure</t>
  </si>
  <si>
    <t xml:space="preserve">Stock + Cash (Mixed Consideration)</t>
  </si>
  <si>
    <t xml:space="preserve">Offer Price per SCHW Share</t>
  </si>
  <si>
    <t xml:space="preserve">Premium to SCHW Market Price</t>
  </si>
  <si>
    <t xml:space="preserve">Transaction Value ($M)</t>
  </si>
  <si>
    <t xml:space="preserve">Pro Forma EPS Accretion / (Dilution)</t>
  </si>
  <si>
    <t xml:space="preserve">Deal Type</t>
  </si>
  <si>
    <t xml:space="preserve">Accretive</t>
  </si>
  <si>
    <t xml:space="preserve">Hypothetical transaction for portfolio purposes only. Not a recommendation or prediction. JPM and SCHW are independent companies. Financial data from public filings (FY2024/FY2025E).</t>
  </si>
  <si>
    <t xml:space="preserve">DEAL TERMS &amp; TRANSACTION STRUCTURE  —  JPM / SCHW ($M except per-share)</t>
  </si>
  <si>
    <t xml:space="preserve">A  |  Target (Schwab) Standalone Data</t>
  </si>
  <si>
    <t xml:space="preserve">  SCHW Share Price (Pre-Announcement)</t>
  </si>
  <si>
    <t xml:space="preserve">Market price approx. Apr 2026</t>
  </si>
  <si>
    <t xml:space="preserve">  SCHW Shares Outstanding (M)</t>
  </si>
  <si>
    <t xml:space="preserve">Source: SCHW FY2024 10-K, diluted</t>
  </si>
  <si>
    <t xml:space="preserve">  SCHW Market Cap ($M)</t>
  </si>
  <si>
    <t xml:space="preserve">Calc: Share Price x Shares</t>
  </si>
  <si>
    <t xml:space="preserve">  Offer Price per SCHW Share</t>
  </si>
  <si>
    <t xml:space="preserve">~25% premium to pre-announcement price</t>
  </si>
  <si>
    <t xml:space="preserve">  Transaction Value ($M)</t>
  </si>
  <si>
    <t xml:space="preserve">Calc: Offer Price x Shares</t>
  </si>
  <si>
    <t xml:space="preserve">  Acquisition Premium</t>
  </si>
  <si>
    <t xml:space="preserve">Calc: Offer Price / Market Price - 1</t>
  </si>
  <si>
    <t xml:space="preserve">  SCHW LTM Revenue ($M)</t>
  </si>
  <si>
    <t xml:space="preserve">Source: SCHW FY2024 10-K</t>
  </si>
  <si>
    <t xml:space="preserve">  SCHW LTM Net Income ($M)</t>
  </si>
  <si>
    <t xml:space="preserve">  Transaction Value ($M) [check]</t>
  </si>
  <si>
    <t xml:space="preserve">Cross-check</t>
  </si>
  <si>
    <t xml:space="preserve">  Price / LTM Earnings (P/E)</t>
  </si>
  <si>
    <t xml:space="preserve">Transaction P/E</t>
  </si>
  <si>
    <t xml:space="preserve">  Price / Book Value</t>
  </si>
  <si>
    <t xml:space="preserve">Estimated P/BV at deal terms; Source: analyst consensus</t>
  </si>
  <si>
    <t xml:space="preserve">B  |  Consideration Mix &amp; Financing</t>
  </si>
  <si>
    <t xml:space="preserve">  Cash Consideration (% of Deal Value)</t>
  </si>
  <si>
    <t xml:space="preserve">30% cash / 70% stock; limits JPM dilution</t>
  </si>
  <si>
    <t xml:space="preserve">  Stock Consideration (% of Deal Value)</t>
  </si>
  <si>
    <t xml:space="preserve">Calc: 1 minus Cash pct</t>
  </si>
  <si>
    <t xml:space="preserve">  Cash Funded by</t>
  </si>
  <si>
    <t xml:space="preserve">Debt + Excess Capital</t>
  </si>
  <si>
    <t xml:space="preserve">Combination of new debt and JPM surplus capital</t>
  </si>
  <si>
    <t xml:space="preserve">  Cash Portion of Deal ($M)</t>
  </si>
  <si>
    <t xml:space="preserve">Calc: Deal Value x Cash pct</t>
  </si>
  <si>
    <t xml:space="preserve">  Stock Portion of Deal ($M)</t>
  </si>
  <si>
    <t xml:space="preserve">Calc: Deal Value x Stock pct</t>
  </si>
  <si>
    <t xml:space="preserve">  JPM Share Price (at announcement)</t>
  </si>
  <si>
    <t xml:space="preserve">Approx. JPM price, Apr 2026</t>
  </si>
  <si>
    <t xml:space="preserve">  Exchange Ratio  [= Offer / JPM Price × Stock%]</t>
  </si>
  <si>
    <t xml:space="preserve">New JPM shares per SCHW share</t>
  </si>
  <si>
    <t xml:space="preserve">  New JPM Shares Issued (M)</t>
  </si>
  <si>
    <t xml:space="preserve">Calc: SCHW Shares x Exchange Ratio</t>
  </si>
  <si>
    <t xml:space="preserve">  JPM Shares Outstanding (M, pre-deal)</t>
  </si>
  <si>
    <t xml:space="preserve">Source: JPM FY2024 10-K</t>
  </si>
  <si>
    <t xml:space="preserve">  JPM Shares Outstanding (M, pro forma)</t>
  </si>
  <si>
    <t xml:space="preserve">Calc: Pre-deal plus New shares</t>
  </si>
  <si>
    <t xml:space="preserve">  % Dilution to JPM Shareholders</t>
  </si>
  <si>
    <t xml:space="preserve">Calc: New Shares div Pre-deal Shares</t>
  </si>
  <si>
    <t xml:space="preserve">C  |  Transaction Fees &amp; Adjustments</t>
  </si>
  <si>
    <t xml:space="preserve">  M&amp;A Advisory Fees (% of TV)</t>
  </si>
  <si>
    <t xml:space="preserve">~0.5% for mega-cap deal</t>
  </si>
  <si>
    <t xml:space="preserve">  Legal &amp; Other Fees ($M)</t>
  </si>
  <si>
    <t xml:space="preserve">Fixed estimate for regulatory complexity</t>
  </si>
  <si>
    <t xml:space="preserve">  Financing Fees (% of Cash Used)</t>
  </si>
  <si>
    <t xml:space="preserve">Debt issuance costs</t>
  </si>
  <si>
    <t xml:space="preserve">  Total Transaction Fees ($M)</t>
  </si>
  <si>
    <t xml:space="preserve">Sum of advisory + legal + financing</t>
  </si>
  <si>
    <t xml:space="preserve">  Goodwill Created ($M)</t>
  </si>
  <si>
    <t xml:space="preserve">Calc: TV plus Fees minus Book Value</t>
  </si>
  <si>
    <t xml:space="preserve">  SCHW Book Value ($M, approx.)</t>
  </si>
  <si>
    <t xml:space="preserve">Source: SCHW FY2024 10-K equity</t>
  </si>
  <si>
    <t xml:space="preserve">STANDALONE FINANCIALS — Acquirer (JPM) &amp; Target (SCHW)  ($M)</t>
  </si>
  <si>
    <t xml:space="preserve">Line Item</t>
  </si>
  <si>
    <t xml:space="preserve">JPM (FY2024A)</t>
  </si>
  <si>
    <t xml:space="preserve">JPM (FY2025E)</t>
  </si>
  <si>
    <t xml:space="preserve">SCHW (FY2024A)</t>
  </si>
  <si>
    <t xml:space="preserve">SCHW (FY2025E)</t>
  </si>
  <si>
    <t xml:space="preserve">Notes / Source</t>
  </si>
  <si>
    <t xml:space="preserve">INCOME STATEMENT (KEY ITEMS)</t>
  </si>
  <si>
    <t xml:space="preserve">  Net Revenue / Net Interest Income + Fees ($M)</t>
  </si>
  <si>
    <t xml:space="preserve">JPM: Total net revenue FY2024; SCHW: Net revenues FY2024. Source: 10-K</t>
  </si>
  <si>
    <t xml:space="preserve">  Provision for Credit Losses ($M)</t>
  </si>
  <si>
    <t xml:space="preserve">JPM: FY2024 PCL; SCHW: Minimal credit losses (brokerage model)</t>
  </si>
  <si>
    <t xml:space="preserve">  Non-Interest Expense ($M)</t>
  </si>
  <si>
    <t xml:space="preserve">JPM/SCHW: Operating expenses. Source: 10-K FY2024</t>
  </si>
  <si>
    <t xml:space="preserve">  Pre-Tax Income ($M)</t>
  </si>
  <si>
    <t xml:space="preserve">Calc: Revenue minus PCL minus Expense</t>
  </si>
  <si>
    <t xml:space="preserve">  Income Tax Rate (%)</t>
  </si>
  <si>
    <t xml:space="preserve">Effective tax rates; Source: 10-K FY2024</t>
  </si>
  <si>
    <t xml:space="preserve">  Net Income ($M)</t>
  </si>
  <si>
    <t xml:space="preserve">Calc: Pre-Tax Income x (1 - Tax Rate)</t>
  </si>
  <si>
    <t xml:space="preserve">  Diluted EPS ($)</t>
  </si>
  <si>
    <t xml:space="preserve">Calc: Net Income div Diluted Shares</t>
  </si>
  <si>
    <t xml:space="preserve">KEY FINANCIAL METRICS</t>
  </si>
  <si>
    <t xml:space="preserve">  Diluted Shares (M)</t>
  </si>
  <si>
    <t xml:space="preserve">  Return on Equity (%)</t>
  </si>
  <si>
    <t xml:space="preserve">  Efficiency Ratio (%)</t>
  </si>
  <si>
    <t xml:space="preserve">SYNERGIES ANALYSIS — JPM / SCHW Merger  ($M)</t>
  </si>
  <si>
    <t xml:space="preserve">Synergy Item</t>
  </si>
  <si>
    <t xml:space="preserve">Year 1</t>
  </si>
  <si>
    <t xml:space="preserve">Year 2</t>
  </si>
  <si>
    <t xml:space="preserve">Year 3</t>
  </si>
  <si>
    <t xml:space="preserve">Year 4</t>
  </si>
  <si>
    <t xml:space="preserve">Year 5 (Steady State)</t>
  </si>
  <si>
    <t xml:space="preserve">Commentary</t>
  </si>
  <si>
    <t xml:space="preserve">REVENUE SYNERGIES</t>
  </si>
  <si>
    <t xml:space="preserve">  Cross-Sell Wealth Mgmt to Schwab Clients</t>
  </si>
  <si>
    <t xml:space="preserve">JPM Private Bank access to 34M Schwab accounts; assumed 5-yr ramp</t>
  </si>
  <si>
    <t xml:space="preserve">  JPM Investment Banking to Schwab Corporates</t>
  </si>
  <si>
    <t xml:space="preserve">SCHW corporate clients introduced to JPM IB advisory</t>
  </si>
  <si>
    <t xml:space="preserve">  Deposit &amp; NII Synergies (Balance Sheet)</t>
  </si>
  <si>
    <t xml:space="preserve">Schwab $400B client cash → JPM balance sheet at higher NII yield</t>
  </si>
  <si>
    <t xml:space="preserve">  Total Revenue Synergies</t>
  </si>
  <si>
    <t xml:space="preserve">COST SYNERGIES (PRE-TAX)</t>
  </si>
  <si>
    <t xml:space="preserve">  Overlapping Technology &amp; Infrastructure</t>
  </si>
  <si>
    <t xml:space="preserve">Consolidate trading platforms, custody systems, data centers</t>
  </si>
  <si>
    <t xml:space="preserve">  Headcount Reduction (Overlap Functions)</t>
  </si>
  <si>
    <t xml:space="preserve">Back-office, compliance, finance; ~5,000 FTE reduction at steady state</t>
  </si>
  <si>
    <t xml:space="preserve">  Vendor &amp; Procurement Consolidation</t>
  </si>
  <si>
    <t xml:space="preserve">Scale benefits across SCHW vendor contracts</t>
  </si>
  <si>
    <t xml:space="preserve">  Branch / Real Estate Optimization</t>
  </si>
  <si>
    <t xml:space="preserve">Schwab branches co-located or converted to JPM branches</t>
  </si>
  <si>
    <t xml:space="preserve">  Total Cost Synergies</t>
  </si>
  <si>
    <t xml:space="preserve">ONE-TIME INTEGRATION COSTS (CHARGES)</t>
  </si>
  <si>
    <t xml:space="preserve">  Technology Integration &amp; Migration</t>
  </si>
  <si>
    <t xml:space="preserve">  Severance &amp; Restructuring</t>
  </si>
  <si>
    <t xml:space="preserve">  Brand &amp; Marketing Transition</t>
  </si>
  <si>
    <t xml:space="preserve">  Total Integration Costs (Charges)</t>
  </si>
  <si>
    <t xml:space="preserve">NET SYNERGIES (AFTER INTEGRATION COSTS)</t>
  </si>
  <si>
    <t xml:space="preserve">  (-) Integration Costs</t>
  </si>
  <si>
    <t xml:space="preserve">  Net Pre-Tax Synergies</t>
  </si>
  <si>
    <t xml:space="preserve">  After-Tax Synergies (25%)</t>
  </si>
  <si>
    <t xml:space="preserve">NPV OF SYNERGIES (Discount Rate: 10%)</t>
  </si>
  <si>
    <t xml:space="preserve">  Discount Rate</t>
  </si>
  <si>
    <t xml:space="preserve">  PV of After-Tax Synergies (Sum, 5-Year)</t>
  </si>
  <si>
    <t xml:space="preserve">  Terminal Value of Synergies [TV = SS Synergy×(1+2%) / (r-2%)]</t>
  </si>
  <si>
    <t xml:space="preserve">NPV of Total Synergies ($M)</t>
  </si>
  <si>
    <t xml:space="preserve">ACCRETION / DILUTION ANALYSIS — JPMorgan Chase (Acquirer)  ($M, except EPS)</t>
  </si>
  <si>
    <t xml:space="preserve">JPM Standalone
(FY2025E)</t>
  </si>
  <si>
    <t xml:space="preserve">SCHW
Contribution</t>
  </si>
  <si>
    <t xml:space="preserve">+ Revenue
Synergies (Y3)</t>
  </si>
  <si>
    <t xml:space="preserve">+ Cost
Synergies (Y3)</t>
  </si>
  <si>
    <t xml:space="preserve">Pro Forma
Combined</t>
  </si>
  <si>
    <t xml:space="preserve">PRO FORMA INCOME STATEMENT BUILD</t>
  </si>
  <si>
    <t xml:space="preserve">  Net Revenue ($M)</t>
  </si>
  <si>
    <t xml:space="preserve">  (-) Provision for Credit Losses ($M)</t>
  </si>
  <si>
    <t xml:space="preserve">  (-) Non-Interest Expense ($M)</t>
  </si>
  <si>
    <t xml:space="preserve">  (-) Integration Charges (Year 3 only)</t>
  </si>
  <si>
    <t xml:space="preserve">  (-) Incremental D&amp;A (Purchase Price Step-Up)</t>
  </si>
  <si>
    <t xml:space="preserve">  (-) Incremental Financing Cost (Cash Portion)</t>
  </si>
  <si>
    <t xml:space="preserve">Pre-Tax Income ($M)</t>
  </si>
  <si>
    <t xml:space="preserve">  (-) Income Taxes (21.3%)</t>
  </si>
  <si>
    <t xml:space="preserve">Pro Forma Net Income ($M)</t>
  </si>
  <si>
    <t xml:space="preserve">SHARE COUNT &amp; EPS</t>
  </si>
  <si>
    <t xml:space="preserve">  JPM Diluted Shares (M) — Standalone</t>
  </si>
  <si>
    <t xml:space="preserve">  (+) New Shares Issued for SCHW</t>
  </si>
  <si>
    <t xml:space="preserve">Pro Forma Diluted Shares (M)</t>
  </si>
  <si>
    <t xml:space="preserve">EPS ACCRETION / DILUTION</t>
  </si>
  <si>
    <t xml:space="preserve">  Standalone JPM EPS ($) [from IS]</t>
  </si>
  <si>
    <t xml:space="preserve">—</t>
  </si>
  <si>
    <t xml:space="preserve">  Pro Forma EPS ($)</t>
  </si>
  <si>
    <t xml:space="preserve">  EPS Accretion / (Dilution) ($)</t>
  </si>
  <si>
    <t xml:space="preserve">  EPS Accretion / (Dilution) (%)</t>
  </si>
  <si>
    <t xml:space="preserve">Key Assumptions in This Analysis</t>
  </si>
  <si>
    <t xml:space="preserve">Year 3 synergies used as representative run-rate for pro forma (standard IB practice)</t>
  </si>
  <si>
    <t xml:space="preserve">Includes D&amp;A step-up from fair value of acquired assets (~$800M/yr estimated)</t>
  </si>
  <si>
    <t xml:space="preserve">Tax rate held at JPM's FY2024 effective rate of 21.3% for combined entity</t>
  </si>
  <si>
    <t xml:space="preserve">SENSITIVITY ANALYSIS — EPS Accretion / (Dilution)</t>
  </si>
  <si>
    <t xml:space="preserve">Each cell shows EPS accretion / (dilution) at a given offer price (rows) and % stock consideration (cols). Year 3 cost and revenue synergies held constant. Base case highlighted yellow.</t>
  </si>
  <si>
    <t xml:space="preserve">EPS Accretion / (Dilution) — Offer Price vs. % Stock Consideration</t>
  </si>
  <si>
    <t xml:space="preserve">Offer Price ($) ↓
% Stock →</t>
  </si>
  <si>
    <t xml:space="preserve">Yellow = Base Case (Offer $92.50, 70% stock/30% cash, Year 3 synergies)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</si>
</sst>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0.0%;\(0.0%\);\-"/>
    <numFmt numFmtId="167" formatCode="\$#,##0;&quot;($&quot;#,##0\);\-"/>
    <numFmt numFmtId="168" formatCode="#,##0;\(#,##0\);\-"/>
    <numFmt numFmtId="169" formatCode="0.0\x"/>
    <numFmt numFmtId="170" formatCode="0.00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A3C5E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80808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C5E"/>
        <bgColor rgb="FF40404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2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5" fontId="7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5E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5" min="3" style="0" width="18"/>
    <col collapsed="false" customWidth="true" hidden="false" outlineLevel="0" max="6" min="6" style="0" width="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1"/>
      <c r="B2" s="1"/>
      <c r="C2" s="1"/>
      <c r="D2" s="1"/>
      <c r="E2" s="1"/>
      <c r="F2" s="1"/>
    </row>
    <row r="3" customFormat="false" ht="24" hidden="false" customHeight="true" outlineLevel="0" collapsed="false">
      <c r="A3" s="1"/>
      <c r="B3" s="1"/>
      <c r="C3" s="1"/>
      <c r="D3" s="1"/>
      <c r="E3" s="1"/>
      <c r="F3" s="1"/>
    </row>
    <row r="4" customFormat="false" ht="24" hidden="false" customHeight="true" outlineLevel="0" collapsed="false">
      <c r="A4" s="2"/>
      <c r="B4" s="2"/>
      <c r="C4" s="2"/>
      <c r="D4" s="2"/>
      <c r="E4" s="2"/>
      <c r="F4" s="2"/>
    </row>
    <row r="5" customFormat="false" ht="24" hidden="false" customHeight="true" outlineLevel="0" collapsed="false">
      <c r="A5" s="2"/>
      <c r="B5" s="2"/>
      <c r="C5" s="2"/>
      <c r="D5" s="2"/>
      <c r="E5" s="2"/>
      <c r="F5" s="2"/>
    </row>
    <row r="6" customFormat="false" ht="18" hidden="false" customHeight="true" outlineLevel="0" collapsed="false"/>
    <row r="7" customFormat="false" ht="21.75" hidden="false" customHeight="true" outlineLevel="0" collapsed="false">
      <c r="A7" s="3" t="s">
        <v>1</v>
      </c>
      <c r="B7" s="3"/>
      <c r="C7" s="3"/>
      <c r="D7" s="3"/>
      <c r="E7" s="3"/>
      <c r="F7" s="3"/>
    </row>
    <row r="8" customFormat="false" ht="18" hidden="false" customHeight="true" outlineLevel="0" collapsed="false"/>
    <row r="9" customFormat="false" ht="19.5" hidden="false" customHeight="true" outlineLevel="0" collapsed="false">
      <c r="B9" s="4" t="s">
        <v>2</v>
      </c>
      <c r="C9" s="4"/>
      <c r="D9" s="4"/>
      <c r="E9" s="4"/>
    </row>
    <row r="10" customFormat="false" ht="18" hidden="false" customHeight="true" outlineLevel="0" collapsed="false">
      <c r="B10" s="5" t="s">
        <v>3</v>
      </c>
      <c r="C10" s="6"/>
      <c r="D10" s="7" t="s">
        <v>4</v>
      </c>
      <c r="E10" s="6"/>
    </row>
    <row r="11" customFormat="false" ht="18" hidden="false" customHeight="true" outlineLevel="0" collapsed="false">
      <c r="B11" s="5" t="s">
        <v>5</v>
      </c>
      <c r="C11" s="6"/>
      <c r="D11" s="7" t="s">
        <v>6</v>
      </c>
      <c r="E11" s="6"/>
    </row>
    <row r="12" customFormat="false" ht="18" hidden="false" customHeight="true" outlineLevel="0" collapsed="false">
      <c r="B12" s="5" t="s">
        <v>7</v>
      </c>
      <c r="C12" s="6"/>
      <c r="D12" s="7" t="s">
        <v>8</v>
      </c>
      <c r="E12" s="6"/>
    </row>
    <row r="13" customFormat="false" ht="18" hidden="false" customHeight="true" outlineLevel="0" collapsed="false">
      <c r="B13" s="5" t="s">
        <v>9</v>
      </c>
      <c r="C13" s="6"/>
      <c r="D13" s="8" t="n">
        <f aca="false">'Deal Terms'!B7</f>
        <v>92.5</v>
      </c>
      <c r="E13" s="6"/>
    </row>
    <row r="14" customFormat="false" ht="18" hidden="false" customHeight="true" outlineLevel="0" collapsed="false">
      <c r="B14" s="5" t="s">
        <v>10</v>
      </c>
      <c r="C14" s="6"/>
      <c r="D14" s="9" t="n">
        <f aca="false">'Deal Terms'!B9</f>
        <v>0.25</v>
      </c>
      <c r="E14" s="6"/>
    </row>
    <row r="15" customFormat="false" ht="18" hidden="false" customHeight="true" outlineLevel="0" collapsed="false">
      <c r="B15" s="5" t="s">
        <v>11</v>
      </c>
      <c r="C15" s="6"/>
      <c r="D15" s="10" t="n">
        <f aca="false">'Deal Terms'!B12</f>
        <v>166.5</v>
      </c>
      <c r="E15" s="6"/>
    </row>
    <row r="16" customFormat="false" ht="18" hidden="false" customHeight="true" outlineLevel="0" collapsed="false">
      <c r="B16" s="5" t="s">
        <v>12</v>
      </c>
      <c r="C16" s="6"/>
      <c r="D16" s="9" t="n">
        <f aca="false">'Accretion Dilution'!B32</f>
        <v>-0.0400931093479792</v>
      </c>
      <c r="E16" s="6"/>
    </row>
    <row r="17" customFormat="false" ht="18" hidden="false" customHeight="true" outlineLevel="0" collapsed="false">
      <c r="B17" s="5" t="s">
        <v>13</v>
      </c>
      <c r="C17" s="6"/>
      <c r="D17" s="7" t="s">
        <v>14</v>
      </c>
      <c r="E17" s="6"/>
    </row>
    <row r="18" customFormat="false" ht="18" hidden="false" customHeight="true" outlineLevel="0" collapsed="false"/>
    <row r="19" customFormat="false" ht="18" hidden="false" customHeight="true" outlineLevel="0" collapsed="false"/>
    <row r="20" customFormat="false" ht="18" hidden="false" customHeight="true" outlineLevel="0" collapsed="false"/>
    <row r="21" customFormat="false" ht="18" hidden="false" customHeight="true" outlineLevel="0" collapsed="false"/>
    <row r="22" customFormat="false" ht="18" hidden="false" customHeight="true" outlineLevel="0" collapsed="false"/>
    <row r="23" customFormat="false" ht="18" hidden="false" customHeight="true" outlineLevel="0" collapsed="false"/>
    <row r="24" customFormat="false" ht="18" hidden="false" customHeight="true" outlineLevel="0" collapsed="false"/>
    <row r="25" customFormat="false" ht="18" hidden="false" customHeight="true" outlineLevel="0" collapsed="false"/>
    <row r="26" customFormat="false" ht="18" hidden="false" customHeight="true" outlineLevel="0" collapsed="false"/>
    <row r="27" customFormat="false" ht="18" hidden="false" customHeight="true" outlineLevel="0" collapsed="false"/>
    <row r="28" customFormat="false" ht="18" hidden="false" customHeight="true" outlineLevel="0" collapsed="false"/>
    <row r="29" customFormat="false" ht="18" hidden="false" customHeight="true" outlineLevel="0" collapsed="false"/>
    <row r="30" customFormat="false" ht="18" hidden="false" customHeight="true" outlineLevel="0" collapsed="false"/>
    <row r="31" customFormat="false" ht="18" hidden="false" customHeight="true" outlineLevel="0" collapsed="false"/>
    <row r="32" customFormat="false" ht="27.75" hidden="false" customHeight="true" outlineLevel="0" collapsed="false">
      <c r="B32" s="11" t="s">
        <v>15</v>
      </c>
      <c r="C32" s="11"/>
      <c r="D32" s="11"/>
      <c r="E32" s="11"/>
    </row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</sheetData>
  <mergeCells count="4">
    <mergeCell ref="A1:F3"/>
    <mergeCell ref="A7:F7"/>
    <mergeCell ref="B9:E9"/>
    <mergeCell ref="B32:E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28"/>
  </cols>
  <sheetData>
    <row r="1" customFormat="false" ht="25.5" hidden="false" customHeight="true" outlineLevel="0" collapsed="false">
      <c r="A1" s="12" t="s">
        <v>16</v>
      </c>
      <c r="B1" s="12"/>
      <c r="C1" s="12"/>
    </row>
    <row r="2" customFormat="false" ht="7.5" hidden="false" customHeight="true" outlineLevel="0" collapsed="false">
      <c r="A2" s="2"/>
      <c r="B2" s="2"/>
      <c r="C2" s="2"/>
    </row>
    <row r="3" customFormat="false" ht="7.5" hidden="false" customHeight="true" outlineLevel="0" collapsed="false">
      <c r="A3" s="13" t="s">
        <v>17</v>
      </c>
      <c r="B3" s="13"/>
      <c r="C3" s="13"/>
    </row>
    <row r="4" customFormat="false" ht="18" hidden="false" customHeight="true" outlineLevel="0" collapsed="false">
      <c r="A4" s="14" t="s">
        <v>18</v>
      </c>
      <c r="B4" s="15" t="n">
        <v>74</v>
      </c>
      <c r="C4" s="16" t="s">
        <v>19</v>
      </c>
    </row>
    <row r="5" customFormat="false" ht="18" hidden="false" customHeight="true" outlineLevel="0" collapsed="false">
      <c r="A5" s="14" t="s">
        <v>20</v>
      </c>
      <c r="B5" s="17" t="n">
        <v>1800</v>
      </c>
      <c r="C5" s="16" t="s">
        <v>21</v>
      </c>
    </row>
    <row r="6" customFormat="false" ht="18" hidden="false" customHeight="true" outlineLevel="0" collapsed="false">
      <c r="A6" s="14" t="s">
        <v>22</v>
      </c>
      <c r="B6" s="18" t="n">
        <f aca="false">B4*B5/1000</f>
        <v>133.2</v>
      </c>
      <c r="C6" s="16" t="s">
        <v>23</v>
      </c>
    </row>
    <row r="7" customFormat="false" ht="18" hidden="false" customHeight="true" outlineLevel="0" collapsed="false">
      <c r="A7" s="19" t="s">
        <v>24</v>
      </c>
      <c r="B7" s="20" t="n">
        <v>92.5</v>
      </c>
      <c r="C7" s="16" t="s">
        <v>25</v>
      </c>
    </row>
    <row r="8" customFormat="false" ht="18" hidden="false" customHeight="true" outlineLevel="0" collapsed="false">
      <c r="A8" s="19" t="s">
        <v>26</v>
      </c>
      <c r="B8" s="21" t="n">
        <f aca="false">B7*B5/1000</f>
        <v>166.5</v>
      </c>
      <c r="C8" s="16" t="s">
        <v>27</v>
      </c>
    </row>
    <row r="9" customFormat="false" ht="18" hidden="false" customHeight="true" outlineLevel="0" collapsed="false">
      <c r="A9" s="14" t="s">
        <v>28</v>
      </c>
      <c r="B9" s="22" t="n">
        <f aca="false">B7/B4-1</f>
        <v>0.25</v>
      </c>
      <c r="C9" s="16" t="s">
        <v>29</v>
      </c>
    </row>
    <row r="10" customFormat="false" ht="18" hidden="false" customHeight="true" outlineLevel="0" collapsed="false">
      <c r="A10" s="14" t="s">
        <v>30</v>
      </c>
      <c r="B10" s="23" t="n">
        <v>19745</v>
      </c>
      <c r="C10" s="16" t="s">
        <v>31</v>
      </c>
    </row>
    <row r="11" customFormat="false" ht="18" hidden="false" customHeight="true" outlineLevel="0" collapsed="false">
      <c r="A11" s="14" t="s">
        <v>32</v>
      </c>
      <c r="B11" s="23" t="n">
        <v>5591</v>
      </c>
      <c r="C11" s="16" t="s">
        <v>31</v>
      </c>
    </row>
    <row r="12" customFormat="false" ht="18" hidden="false" customHeight="true" outlineLevel="0" collapsed="false">
      <c r="A12" s="14" t="s">
        <v>33</v>
      </c>
      <c r="B12" s="18" t="n">
        <f aca="false">B8</f>
        <v>166.5</v>
      </c>
      <c r="C12" s="16" t="s">
        <v>34</v>
      </c>
    </row>
    <row r="13" customFormat="false" ht="18" hidden="false" customHeight="true" outlineLevel="0" collapsed="false">
      <c r="A13" s="14" t="s">
        <v>35</v>
      </c>
      <c r="B13" s="24" t="n">
        <f aca="false">IF(B11=0,0,(B8/B11))</f>
        <v>0.0297800035771776</v>
      </c>
      <c r="C13" s="16" t="s">
        <v>36</v>
      </c>
    </row>
    <row r="14" customFormat="false" ht="18" hidden="false" customHeight="true" outlineLevel="0" collapsed="false">
      <c r="A14" s="14" t="s">
        <v>37</v>
      </c>
      <c r="B14" s="25" t="n">
        <v>2.8</v>
      </c>
      <c r="C14" s="16" t="s">
        <v>38</v>
      </c>
    </row>
    <row r="16" customFormat="false" ht="7.5" hidden="false" customHeight="true" outlineLevel="0" collapsed="false">
      <c r="A16" s="13" t="s">
        <v>39</v>
      </c>
      <c r="B16" s="13"/>
      <c r="C16" s="13"/>
    </row>
    <row r="17" customFormat="false" ht="18" hidden="false" customHeight="true" outlineLevel="0" collapsed="false">
      <c r="A17" s="14" t="s">
        <v>40</v>
      </c>
      <c r="B17" s="26" t="n">
        <v>0.3</v>
      </c>
      <c r="C17" s="16" t="s">
        <v>41</v>
      </c>
    </row>
    <row r="18" customFormat="false" ht="18" hidden="false" customHeight="true" outlineLevel="0" collapsed="false">
      <c r="A18" s="14" t="s">
        <v>42</v>
      </c>
      <c r="B18" s="22" t="n">
        <f aca="false">1-B17</f>
        <v>0.7</v>
      </c>
      <c r="C18" s="16" t="s">
        <v>43</v>
      </c>
    </row>
    <row r="19" customFormat="false" ht="18" hidden="false" customHeight="true" outlineLevel="0" collapsed="false">
      <c r="A19" s="14" t="s">
        <v>44</v>
      </c>
      <c r="B19" s="14" t="s">
        <v>45</v>
      </c>
      <c r="C19" s="16" t="s">
        <v>46</v>
      </c>
    </row>
    <row r="20" customFormat="false" ht="18" hidden="false" customHeight="true" outlineLevel="0" collapsed="false">
      <c r="A20" s="14" t="s">
        <v>47</v>
      </c>
      <c r="B20" s="18" t="n">
        <f aca="false">B8*B17</f>
        <v>49.95</v>
      </c>
      <c r="C20" s="16" t="s">
        <v>48</v>
      </c>
    </row>
    <row r="21" customFormat="false" ht="18" hidden="false" customHeight="true" outlineLevel="0" collapsed="false">
      <c r="A21" s="14" t="s">
        <v>49</v>
      </c>
      <c r="B21" s="18" t="n">
        <f aca="false">B8*B18</f>
        <v>116.55</v>
      </c>
      <c r="C21" s="16" t="s">
        <v>50</v>
      </c>
    </row>
    <row r="22" customFormat="false" ht="18" hidden="false" customHeight="true" outlineLevel="0" collapsed="false">
      <c r="A22" s="14" t="s">
        <v>51</v>
      </c>
      <c r="B22" s="15" t="n">
        <v>240</v>
      </c>
      <c r="C22" s="16" t="s">
        <v>52</v>
      </c>
    </row>
    <row r="23" customFormat="false" ht="18" hidden="false" customHeight="true" outlineLevel="0" collapsed="false">
      <c r="A23" s="14" t="s">
        <v>53</v>
      </c>
      <c r="B23" s="27" t="n">
        <f aca="false">B7/B22*B18</f>
        <v>0.269791666666667</v>
      </c>
      <c r="C23" s="16" t="s">
        <v>54</v>
      </c>
    </row>
    <row r="24" customFormat="false" ht="18" hidden="false" customHeight="true" outlineLevel="0" collapsed="false">
      <c r="A24" s="14" t="s">
        <v>55</v>
      </c>
      <c r="B24" s="28" t="n">
        <f aca="false">B5*B23</f>
        <v>485.625</v>
      </c>
      <c r="C24" s="16" t="s">
        <v>56</v>
      </c>
    </row>
    <row r="25" customFormat="false" ht="18" hidden="false" customHeight="true" outlineLevel="0" collapsed="false">
      <c r="A25" s="14" t="s">
        <v>57</v>
      </c>
      <c r="B25" s="17" t="n">
        <v>2850</v>
      </c>
      <c r="C25" s="16" t="s">
        <v>58</v>
      </c>
    </row>
    <row r="26" customFormat="false" ht="18" hidden="false" customHeight="true" outlineLevel="0" collapsed="false">
      <c r="A26" s="14" t="s">
        <v>59</v>
      </c>
      <c r="B26" s="29" t="n">
        <f aca="false">B25+B24</f>
        <v>3335.625</v>
      </c>
      <c r="C26" s="16" t="s">
        <v>60</v>
      </c>
    </row>
    <row r="27" customFormat="false" ht="18" hidden="false" customHeight="true" outlineLevel="0" collapsed="false">
      <c r="A27" s="14" t="s">
        <v>61</v>
      </c>
      <c r="B27" s="22" t="n">
        <f aca="false">B24/B25</f>
        <v>0.170394736842105</v>
      </c>
      <c r="C27" s="16" t="s">
        <v>62</v>
      </c>
    </row>
    <row r="29" customFormat="false" ht="7.5" hidden="false" customHeight="true" outlineLevel="0" collapsed="false">
      <c r="A29" s="13" t="s">
        <v>63</v>
      </c>
      <c r="B29" s="13"/>
      <c r="C29" s="13"/>
    </row>
    <row r="30" customFormat="false" ht="18" hidden="false" customHeight="true" outlineLevel="0" collapsed="false">
      <c r="A30" s="14" t="s">
        <v>64</v>
      </c>
      <c r="B30" s="26" t="n">
        <v>0.005</v>
      </c>
      <c r="C30" s="16" t="s">
        <v>65</v>
      </c>
    </row>
    <row r="31" customFormat="false" ht="18" hidden="false" customHeight="true" outlineLevel="0" collapsed="false">
      <c r="A31" s="14" t="s">
        <v>66</v>
      </c>
      <c r="B31" s="23" t="n">
        <v>250</v>
      </c>
      <c r="C31" s="16" t="s">
        <v>67</v>
      </c>
    </row>
    <row r="32" customFormat="false" ht="18" hidden="false" customHeight="true" outlineLevel="0" collapsed="false">
      <c r="A32" s="14" t="s">
        <v>68</v>
      </c>
      <c r="B32" s="26" t="n">
        <v>0.02</v>
      </c>
      <c r="C32" s="16" t="s">
        <v>69</v>
      </c>
    </row>
    <row r="33" customFormat="false" ht="18" hidden="false" customHeight="true" outlineLevel="0" collapsed="false">
      <c r="A33" s="14" t="s">
        <v>70</v>
      </c>
      <c r="B33" s="30" t="n">
        <f aca="false">B8*B30+B31+B20*B32</f>
        <v>251.8315</v>
      </c>
      <c r="C33" s="16" t="s">
        <v>71</v>
      </c>
    </row>
    <row r="34" customFormat="false" ht="18" hidden="false" customHeight="true" outlineLevel="0" collapsed="false">
      <c r="A34" s="14" t="s">
        <v>72</v>
      </c>
      <c r="B34" s="18" t="n">
        <f aca="false">MAX(0,B8+B33-B35)</f>
        <v>0</v>
      </c>
      <c r="C34" s="16" t="s">
        <v>73</v>
      </c>
    </row>
    <row r="35" customFormat="false" ht="18" hidden="false" customHeight="true" outlineLevel="0" collapsed="false">
      <c r="A35" s="14" t="s">
        <v>74</v>
      </c>
      <c r="B35" s="23" t="n">
        <v>36000</v>
      </c>
      <c r="C35" s="16" t="s">
        <v>75</v>
      </c>
    </row>
  </sheetData>
  <mergeCells count="4">
    <mergeCell ref="A1:C1"/>
    <mergeCell ref="A3:C3"/>
    <mergeCell ref="A16:C16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6"/>
  </cols>
  <sheetData>
    <row r="1" customFormat="false" ht="25.5" hidden="false" customHeight="true" outlineLevel="0" collapsed="false">
      <c r="A1" s="12" t="s">
        <v>76</v>
      </c>
      <c r="B1" s="12"/>
      <c r="C1" s="12"/>
      <c r="D1" s="12"/>
      <c r="E1" s="12"/>
      <c r="F1" s="12"/>
    </row>
    <row r="2" customFormat="false" ht="7.5" hidden="false" customHeight="true" outlineLevel="0" collapsed="false">
      <c r="A2" s="2"/>
      <c r="B2" s="2"/>
      <c r="C2" s="2"/>
      <c r="D2" s="2"/>
      <c r="E2" s="2"/>
      <c r="F2" s="2"/>
    </row>
    <row r="3" customFormat="false" ht="19.5" hidden="false" customHeight="true" outlineLevel="0" collapsed="false">
      <c r="A3" s="31" t="s">
        <v>77</v>
      </c>
      <c r="B3" s="32" t="s">
        <v>78</v>
      </c>
      <c r="C3" s="32" t="s">
        <v>79</v>
      </c>
      <c r="D3" s="32" t="s">
        <v>80</v>
      </c>
      <c r="E3" s="32" t="s">
        <v>81</v>
      </c>
      <c r="F3" s="31" t="s">
        <v>82</v>
      </c>
    </row>
    <row r="4" customFormat="false" ht="7.5" hidden="false" customHeight="true" outlineLevel="0" collapsed="false">
      <c r="A4" s="13" t="s">
        <v>83</v>
      </c>
      <c r="B4" s="13"/>
      <c r="C4" s="13"/>
      <c r="D4" s="13"/>
      <c r="E4" s="13"/>
    </row>
    <row r="5" customFormat="false" ht="18" hidden="false" customHeight="true" outlineLevel="0" collapsed="false">
      <c r="A5" s="33" t="s">
        <v>84</v>
      </c>
      <c r="B5" s="23" t="n">
        <v>181014</v>
      </c>
      <c r="C5" s="23" t="n">
        <v>191000</v>
      </c>
      <c r="D5" s="23" t="n">
        <v>19745</v>
      </c>
      <c r="E5" s="23" t="n">
        <v>21200</v>
      </c>
      <c r="F5" s="16" t="s">
        <v>85</v>
      </c>
    </row>
    <row r="6" customFormat="false" ht="18" hidden="false" customHeight="true" outlineLevel="0" collapsed="false">
      <c r="A6" s="33" t="s">
        <v>86</v>
      </c>
      <c r="B6" s="23" t="n">
        <v>9280</v>
      </c>
      <c r="C6" s="23" t="n">
        <v>9500</v>
      </c>
      <c r="D6" s="23" t="n">
        <v>0</v>
      </c>
      <c r="E6" s="23" t="n">
        <v>0</v>
      </c>
      <c r="F6" s="16" t="s">
        <v>87</v>
      </c>
    </row>
    <row r="7" customFormat="false" ht="18" hidden="false" customHeight="true" outlineLevel="0" collapsed="false">
      <c r="A7" s="33" t="s">
        <v>88</v>
      </c>
      <c r="B7" s="23" t="n">
        <v>87012</v>
      </c>
      <c r="C7" s="23" t="n">
        <v>90000</v>
      </c>
      <c r="D7" s="23" t="n">
        <v>12393</v>
      </c>
      <c r="E7" s="23" t="n">
        <v>13200</v>
      </c>
      <c r="F7" s="16" t="s">
        <v>89</v>
      </c>
    </row>
    <row r="8" customFormat="false" ht="18" hidden="false" customHeight="true" outlineLevel="0" collapsed="false">
      <c r="A8" s="34" t="s">
        <v>90</v>
      </c>
      <c r="B8" s="30" t="n">
        <f aca="false">B5-B6-B7</f>
        <v>84722</v>
      </c>
      <c r="C8" s="30" t="n">
        <f aca="false">C5-C6-C7</f>
        <v>91500</v>
      </c>
      <c r="D8" s="30" t="n">
        <f aca="false">D5-D6-D7</f>
        <v>7352</v>
      </c>
      <c r="E8" s="30" t="n">
        <f aca="false">E5-E6-E7</f>
        <v>8000</v>
      </c>
      <c r="F8" s="16" t="s">
        <v>91</v>
      </c>
    </row>
    <row r="9" customFormat="false" ht="18" hidden="false" customHeight="true" outlineLevel="0" collapsed="false">
      <c r="A9" s="33" t="s">
        <v>92</v>
      </c>
      <c r="B9" s="26" t="n">
        <v>0.213</v>
      </c>
      <c r="C9" s="26" t="n">
        <v>0.213</v>
      </c>
      <c r="D9" s="26" t="n">
        <v>0.21</v>
      </c>
      <c r="E9" s="26" t="n">
        <v>0.21</v>
      </c>
      <c r="F9" s="16" t="s">
        <v>93</v>
      </c>
    </row>
    <row r="10" customFormat="false" ht="18" hidden="false" customHeight="true" outlineLevel="0" collapsed="false">
      <c r="A10" s="34" t="s">
        <v>94</v>
      </c>
      <c r="B10" s="30" t="n">
        <f aca="false">B8*(1-B9)</f>
        <v>66676.214</v>
      </c>
      <c r="C10" s="30" t="n">
        <f aca="false">C8*(1-C9)</f>
        <v>72010.5</v>
      </c>
      <c r="D10" s="30" t="n">
        <f aca="false">D8*(1-D9)</f>
        <v>5808.08</v>
      </c>
      <c r="E10" s="30" t="n">
        <f aca="false">E8*(1-E9)</f>
        <v>6320</v>
      </c>
      <c r="F10" s="16" t="s">
        <v>95</v>
      </c>
    </row>
    <row r="11" customFormat="false" ht="18" hidden="false" customHeight="true" outlineLevel="0" collapsed="false">
      <c r="A11" s="33" t="s">
        <v>96</v>
      </c>
      <c r="B11" s="35" t="n">
        <f aca="false">B10/2900*1000</f>
        <v>22991.7979310345</v>
      </c>
      <c r="C11" s="35" t="n">
        <f aca="false">C10/2850*1000</f>
        <v>25266.8421052632</v>
      </c>
      <c r="D11" s="35" t="n">
        <f aca="false">D10/1800*1000</f>
        <v>3226.71111111111</v>
      </c>
      <c r="E11" s="35" t="n">
        <f aca="false">E10/1800*1000</f>
        <v>3511.11111111111</v>
      </c>
      <c r="F11" s="16" t="s">
        <v>97</v>
      </c>
    </row>
    <row r="13" customFormat="false" ht="7.5" hidden="false" customHeight="true" outlineLevel="0" collapsed="false">
      <c r="A13" s="13" t="s">
        <v>98</v>
      </c>
      <c r="B13" s="13"/>
      <c r="C13" s="13"/>
      <c r="D13" s="13"/>
      <c r="E13" s="13"/>
    </row>
    <row r="14" customFormat="false" ht="18" hidden="false" customHeight="true" outlineLevel="0" collapsed="false">
      <c r="A14" s="33" t="s">
        <v>94</v>
      </c>
      <c r="B14" s="36" t="n">
        <f aca="false">B10</f>
        <v>66676.214</v>
      </c>
      <c r="C14" s="36" t="n">
        <f aca="false">C10</f>
        <v>72010.5</v>
      </c>
      <c r="D14" s="36" t="n">
        <f aca="false">D10</f>
        <v>5808.08</v>
      </c>
      <c r="E14" s="36" t="n">
        <f aca="false">E10</f>
        <v>6320</v>
      </c>
    </row>
    <row r="15" customFormat="false" ht="18" hidden="false" customHeight="true" outlineLevel="0" collapsed="false">
      <c r="A15" s="33" t="s">
        <v>99</v>
      </c>
      <c r="B15" s="17" t="n">
        <v>2900</v>
      </c>
      <c r="C15" s="17" t="n">
        <v>2850</v>
      </c>
      <c r="D15" s="17" t="n">
        <v>1800</v>
      </c>
      <c r="E15" s="17" t="n">
        <v>1800</v>
      </c>
    </row>
    <row r="16" customFormat="false" ht="18" hidden="false" customHeight="true" outlineLevel="0" collapsed="false">
      <c r="A16" s="33" t="s">
        <v>96</v>
      </c>
      <c r="B16" s="37" t="n">
        <f aca="false">B11</f>
        <v>22991.7979310345</v>
      </c>
      <c r="C16" s="37" t="n">
        <f aca="false">C11</f>
        <v>25266.8421052632</v>
      </c>
      <c r="D16" s="37" t="n">
        <f aca="false">D11</f>
        <v>3226.71111111111</v>
      </c>
      <c r="E16" s="37" t="n">
        <f aca="false">E11</f>
        <v>3511.11111111111</v>
      </c>
    </row>
    <row r="17" customFormat="false" ht="18" hidden="false" customHeight="true" outlineLevel="0" collapsed="false">
      <c r="A17" s="33" t="s">
        <v>100</v>
      </c>
      <c r="B17" s="26" t="n">
        <v>0.172</v>
      </c>
      <c r="C17" s="26" t="n">
        <v>0.18</v>
      </c>
      <c r="D17" s="26" t="n">
        <v>0.155</v>
      </c>
      <c r="E17" s="26" t="n">
        <v>0.165</v>
      </c>
    </row>
    <row r="18" customFormat="false" ht="18" hidden="false" customHeight="true" outlineLevel="0" collapsed="false">
      <c r="A18" s="33" t="s">
        <v>101</v>
      </c>
      <c r="B18" s="38" t="n">
        <f aca="false">B7/B5</f>
        <v>0.480692101163446</v>
      </c>
      <c r="C18" s="38" t="n">
        <f aca="false">C7/C5</f>
        <v>0.471204188481675</v>
      </c>
      <c r="D18" s="38" t="n">
        <f aca="false">D7/D5</f>
        <v>0.627652570270955</v>
      </c>
      <c r="E18" s="38" t="n">
        <f aca="false">E7/E5</f>
        <v>0.622641509433962</v>
      </c>
    </row>
  </sheetData>
  <mergeCells count="3">
    <mergeCell ref="A1:F1"/>
    <mergeCell ref="A4:E4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6"/>
    <col collapsed="false" customWidth="true" hidden="false" outlineLevel="0" max="7" min="7" style="0" width="24"/>
  </cols>
  <sheetData>
    <row r="1" customFormat="false" ht="25.5" hidden="false" customHeight="true" outlineLevel="0" collapsed="false">
      <c r="A1" s="12" t="s">
        <v>102</v>
      </c>
      <c r="B1" s="12"/>
      <c r="C1" s="12"/>
      <c r="D1" s="12"/>
      <c r="E1" s="12"/>
      <c r="F1" s="12"/>
    </row>
    <row r="2" customFormat="false" ht="7.5" hidden="false" customHeight="true" outlineLevel="0" collapsed="false">
      <c r="A2" s="2"/>
      <c r="B2" s="2"/>
      <c r="C2" s="2"/>
      <c r="D2" s="2"/>
      <c r="E2" s="2"/>
      <c r="F2" s="2"/>
    </row>
    <row r="3" customFormat="false" ht="19.5" hidden="false" customHeight="true" outlineLevel="0" collapsed="false">
      <c r="A3" s="31" t="s">
        <v>103</v>
      </c>
      <c r="B3" s="39" t="s">
        <v>104</v>
      </c>
      <c r="C3" s="39" t="s">
        <v>105</v>
      </c>
      <c r="D3" s="39" t="s">
        <v>106</v>
      </c>
      <c r="E3" s="39" t="s">
        <v>107</v>
      </c>
      <c r="F3" s="39" t="s">
        <v>108</v>
      </c>
      <c r="G3" s="31" t="s">
        <v>109</v>
      </c>
    </row>
    <row r="4" customFormat="false" ht="7.5" hidden="false" customHeight="true" outlineLevel="0" collapsed="false">
      <c r="A4" s="13" t="s">
        <v>110</v>
      </c>
      <c r="B4" s="13"/>
      <c r="C4" s="13"/>
      <c r="D4" s="13"/>
      <c r="E4" s="13"/>
      <c r="F4" s="13"/>
    </row>
    <row r="5" customFormat="false" ht="18" hidden="false" customHeight="true" outlineLevel="0" collapsed="false">
      <c r="A5" s="33" t="s">
        <v>111</v>
      </c>
      <c r="B5" s="23" t="n">
        <v>200</v>
      </c>
      <c r="C5" s="23" t="n">
        <v>400</v>
      </c>
      <c r="D5" s="23" t="n">
        <v>600</v>
      </c>
      <c r="E5" s="23" t="n">
        <v>750</v>
      </c>
      <c r="F5" s="23" t="n">
        <v>900</v>
      </c>
      <c r="G5" s="16" t="s">
        <v>112</v>
      </c>
    </row>
    <row r="6" customFormat="false" ht="18" hidden="false" customHeight="true" outlineLevel="0" collapsed="false">
      <c r="A6" s="33" t="s">
        <v>113</v>
      </c>
      <c r="B6" s="23" t="n">
        <v>100</v>
      </c>
      <c r="C6" s="23" t="n">
        <v>200</v>
      </c>
      <c r="D6" s="23" t="n">
        <v>300</v>
      </c>
      <c r="E6" s="23" t="n">
        <v>350</v>
      </c>
      <c r="F6" s="23" t="n">
        <v>400</v>
      </c>
      <c r="G6" s="16" t="s">
        <v>114</v>
      </c>
    </row>
    <row r="7" customFormat="false" ht="18" hidden="false" customHeight="true" outlineLevel="0" collapsed="false">
      <c r="A7" s="33" t="s">
        <v>115</v>
      </c>
      <c r="B7" s="23" t="n">
        <v>500</v>
      </c>
      <c r="C7" s="23" t="n">
        <v>900</v>
      </c>
      <c r="D7" s="23" t="n">
        <v>1200</v>
      </c>
      <c r="E7" s="23" t="n">
        <v>1400</v>
      </c>
      <c r="F7" s="23" t="n">
        <v>1500</v>
      </c>
      <c r="G7" s="16" t="s">
        <v>116</v>
      </c>
    </row>
    <row r="8" customFormat="false" ht="18" hidden="false" customHeight="true" outlineLevel="0" collapsed="false">
      <c r="A8" s="40" t="s">
        <v>117</v>
      </c>
      <c r="B8" s="41" t="n">
        <f aca="false">B5+B6+B7</f>
        <v>800</v>
      </c>
      <c r="C8" s="41" t="n">
        <f aca="false">C5+C6+C7</f>
        <v>1500</v>
      </c>
      <c r="D8" s="41" t="n">
        <f aca="false">D5+D6+D7</f>
        <v>2100</v>
      </c>
      <c r="E8" s="41" t="n">
        <f aca="false">E5+E6+E7</f>
        <v>2500</v>
      </c>
      <c r="F8" s="41" t="n">
        <f aca="false">F5+F6+F7</f>
        <v>2800</v>
      </c>
      <c r="G8" s="16"/>
    </row>
    <row r="10" customFormat="false" ht="7.5" hidden="false" customHeight="true" outlineLevel="0" collapsed="false">
      <c r="A10" s="13" t="s">
        <v>118</v>
      </c>
      <c r="B10" s="13"/>
      <c r="C10" s="13"/>
      <c r="D10" s="13"/>
      <c r="E10" s="13"/>
      <c r="F10" s="13"/>
    </row>
    <row r="11" customFormat="false" ht="18" hidden="false" customHeight="true" outlineLevel="0" collapsed="false">
      <c r="A11" s="33" t="s">
        <v>119</v>
      </c>
      <c r="B11" s="23" t="n">
        <v>300</v>
      </c>
      <c r="C11" s="23" t="n">
        <v>600</v>
      </c>
      <c r="D11" s="23" t="n">
        <v>900</v>
      </c>
      <c r="E11" s="23" t="n">
        <v>1100</v>
      </c>
      <c r="F11" s="23" t="n">
        <v>1200</v>
      </c>
      <c r="G11" s="16" t="s">
        <v>120</v>
      </c>
    </row>
    <row r="12" customFormat="false" ht="18" hidden="false" customHeight="true" outlineLevel="0" collapsed="false">
      <c r="A12" s="33" t="s">
        <v>121</v>
      </c>
      <c r="B12" s="23" t="n">
        <v>400</v>
      </c>
      <c r="C12" s="23" t="n">
        <v>700</v>
      </c>
      <c r="D12" s="23" t="n">
        <v>1000</v>
      </c>
      <c r="E12" s="23" t="n">
        <v>1200</v>
      </c>
      <c r="F12" s="23" t="n">
        <v>1300</v>
      </c>
      <c r="G12" s="16" t="s">
        <v>122</v>
      </c>
    </row>
    <row r="13" customFormat="false" ht="18" hidden="false" customHeight="true" outlineLevel="0" collapsed="false">
      <c r="A13" s="33" t="s">
        <v>123</v>
      </c>
      <c r="B13" s="23" t="n">
        <v>100</v>
      </c>
      <c r="C13" s="23" t="n">
        <v>200</v>
      </c>
      <c r="D13" s="23" t="n">
        <v>300</v>
      </c>
      <c r="E13" s="23" t="n">
        <v>350</v>
      </c>
      <c r="F13" s="23" t="n">
        <v>400</v>
      </c>
      <c r="G13" s="16" t="s">
        <v>124</v>
      </c>
    </row>
    <row r="14" customFormat="false" ht="18" hidden="false" customHeight="true" outlineLevel="0" collapsed="false">
      <c r="A14" s="33" t="s">
        <v>125</v>
      </c>
      <c r="B14" s="23" t="n">
        <v>50</v>
      </c>
      <c r="C14" s="23" t="n">
        <v>100</v>
      </c>
      <c r="D14" s="23" t="n">
        <v>200</v>
      </c>
      <c r="E14" s="23" t="n">
        <v>250</v>
      </c>
      <c r="F14" s="23" t="n">
        <v>300</v>
      </c>
      <c r="G14" s="16" t="s">
        <v>126</v>
      </c>
    </row>
    <row r="15" customFormat="false" ht="18" hidden="false" customHeight="true" outlineLevel="0" collapsed="false">
      <c r="A15" s="40" t="s">
        <v>127</v>
      </c>
      <c r="B15" s="41" t="n">
        <f aca="false">SUM(B11:B14)</f>
        <v>850</v>
      </c>
      <c r="C15" s="41" t="n">
        <f aca="false">SUM(C11:C14)</f>
        <v>1600</v>
      </c>
      <c r="D15" s="41" t="n">
        <f aca="false">SUM(D11:D14)</f>
        <v>2400</v>
      </c>
      <c r="E15" s="41" t="n">
        <f aca="false">SUM(E11:E14)</f>
        <v>2900</v>
      </c>
      <c r="F15" s="41" t="n">
        <f aca="false">SUM(F11:F14)</f>
        <v>3200</v>
      </c>
      <c r="G15" s="16"/>
    </row>
    <row r="17" customFormat="false" ht="7.5" hidden="false" customHeight="true" outlineLevel="0" collapsed="false">
      <c r="A17" s="13" t="s">
        <v>128</v>
      </c>
      <c r="B17" s="13"/>
      <c r="C17" s="13"/>
      <c r="D17" s="13"/>
      <c r="E17" s="13"/>
      <c r="F17" s="13"/>
    </row>
    <row r="18" customFormat="false" ht="18" hidden="false" customHeight="true" outlineLevel="0" collapsed="false">
      <c r="A18" s="33" t="s">
        <v>129</v>
      </c>
      <c r="B18" s="23" t="n">
        <v>800</v>
      </c>
      <c r="C18" s="23" t="n">
        <v>400</v>
      </c>
      <c r="D18" s="23" t="n">
        <v>200</v>
      </c>
      <c r="E18" s="23" t="n">
        <v>0</v>
      </c>
      <c r="F18" s="23" t="n">
        <v>0</v>
      </c>
    </row>
    <row r="19" customFormat="false" ht="18" hidden="false" customHeight="true" outlineLevel="0" collapsed="false">
      <c r="A19" s="33" t="s">
        <v>130</v>
      </c>
      <c r="B19" s="23" t="n">
        <v>600</v>
      </c>
      <c r="C19" s="23" t="n">
        <v>400</v>
      </c>
      <c r="D19" s="23" t="n">
        <v>150</v>
      </c>
      <c r="E19" s="23" t="n">
        <v>0</v>
      </c>
      <c r="F19" s="23" t="n">
        <v>0</v>
      </c>
    </row>
    <row r="20" customFormat="false" ht="18" hidden="false" customHeight="true" outlineLevel="0" collapsed="false">
      <c r="A20" s="33" t="s">
        <v>131</v>
      </c>
      <c r="B20" s="23" t="n">
        <v>100</v>
      </c>
      <c r="C20" s="23" t="n">
        <v>80</v>
      </c>
      <c r="D20" s="23" t="n">
        <v>50</v>
      </c>
      <c r="E20" s="23" t="n">
        <v>0</v>
      </c>
      <c r="F20" s="23" t="n">
        <v>0</v>
      </c>
    </row>
    <row r="21" customFormat="false" ht="18" hidden="false" customHeight="true" outlineLevel="0" collapsed="false">
      <c r="A21" s="40" t="s">
        <v>132</v>
      </c>
      <c r="B21" s="41" t="n">
        <f aca="false">SUM(B18:B20)</f>
        <v>1500</v>
      </c>
      <c r="C21" s="41" t="n">
        <f aca="false">SUM(C18:C20)</f>
        <v>880</v>
      </c>
      <c r="D21" s="41" t="n">
        <f aca="false">SUM(D18:D20)</f>
        <v>400</v>
      </c>
      <c r="E21" s="41" t="n">
        <f aca="false">SUM(E18:E20)</f>
        <v>0</v>
      </c>
      <c r="F21" s="41" t="n">
        <f aca="false">SUM(F18:F20)</f>
        <v>0</v>
      </c>
    </row>
    <row r="23" customFormat="false" ht="7.5" hidden="false" customHeight="true" outlineLevel="0" collapsed="false">
      <c r="A23" s="13" t="s">
        <v>133</v>
      </c>
      <c r="B23" s="13"/>
      <c r="C23" s="13"/>
      <c r="D23" s="13"/>
      <c r="E23" s="13"/>
      <c r="F23" s="13"/>
    </row>
    <row r="24" customFormat="false" ht="18" hidden="false" customHeight="true" outlineLevel="0" collapsed="false">
      <c r="A24" s="14" t="s">
        <v>117</v>
      </c>
      <c r="B24" s="36" t="n">
        <f aca="false">B8</f>
        <v>800</v>
      </c>
      <c r="C24" s="36" t="n">
        <f aca="false">C8</f>
        <v>1500</v>
      </c>
      <c r="D24" s="36" t="n">
        <f aca="false">D8</f>
        <v>2100</v>
      </c>
      <c r="E24" s="36" t="n">
        <f aca="false">E8</f>
        <v>2500</v>
      </c>
      <c r="F24" s="36" t="n">
        <f aca="false">F8</f>
        <v>2800</v>
      </c>
    </row>
    <row r="25" customFormat="false" ht="18" hidden="false" customHeight="true" outlineLevel="0" collapsed="false">
      <c r="A25" s="14" t="s">
        <v>127</v>
      </c>
      <c r="B25" s="36" t="n">
        <f aca="false">B15</f>
        <v>850</v>
      </c>
      <c r="C25" s="36" t="n">
        <f aca="false">C15</f>
        <v>1600</v>
      </c>
      <c r="D25" s="36" t="n">
        <f aca="false">D15</f>
        <v>2400</v>
      </c>
      <c r="E25" s="36" t="n">
        <f aca="false">E15</f>
        <v>2900</v>
      </c>
      <c r="F25" s="36" t="n">
        <f aca="false">F15</f>
        <v>3200</v>
      </c>
    </row>
    <row r="26" customFormat="false" ht="18" hidden="false" customHeight="true" outlineLevel="0" collapsed="false">
      <c r="A26" s="14" t="s">
        <v>134</v>
      </c>
      <c r="B26" s="36" t="n">
        <f aca="false">B21</f>
        <v>1500</v>
      </c>
      <c r="C26" s="36" t="n">
        <f aca="false">C21</f>
        <v>880</v>
      </c>
      <c r="D26" s="36" t="n">
        <f aca="false">D21</f>
        <v>400</v>
      </c>
      <c r="E26" s="36" t="n">
        <f aca="false">E21</f>
        <v>0</v>
      </c>
      <c r="F26" s="36" t="n">
        <f aca="false">F21</f>
        <v>0</v>
      </c>
    </row>
    <row r="27" customFormat="false" ht="18" hidden="false" customHeight="true" outlineLevel="0" collapsed="false">
      <c r="A27" s="19" t="s">
        <v>135</v>
      </c>
      <c r="B27" s="21" t="n">
        <f aca="false">B24+B25-B26</f>
        <v>150</v>
      </c>
      <c r="C27" s="21" t="n">
        <f aca="false">C24+C25-C26</f>
        <v>2220</v>
      </c>
      <c r="D27" s="21" t="n">
        <f aca="false">D24+D25-D26</f>
        <v>4100</v>
      </c>
      <c r="E27" s="21" t="n">
        <f aca="false">E24+E25-E26</f>
        <v>5400</v>
      </c>
      <c r="F27" s="21" t="n">
        <f aca="false">F24+F25-F26</f>
        <v>6000</v>
      </c>
    </row>
    <row r="28" customFormat="false" ht="18" hidden="false" customHeight="true" outlineLevel="0" collapsed="false">
      <c r="A28" s="19" t="s">
        <v>136</v>
      </c>
      <c r="B28" s="21" t="n">
        <f aca="false">B27*0.75</f>
        <v>112.5</v>
      </c>
      <c r="C28" s="21" t="n">
        <f aca="false">C27*0.75</f>
        <v>1665</v>
      </c>
      <c r="D28" s="21" t="n">
        <f aca="false">D27*0.75</f>
        <v>3075</v>
      </c>
      <c r="E28" s="21" t="n">
        <f aca="false">E27*0.75</f>
        <v>4050</v>
      </c>
      <c r="F28" s="21" t="n">
        <f aca="false">F27*0.75</f>
        <v>4500</v>
      </c>
    </row>
    <row r="30" customFormat="false" ht="7.5" hidden="false" customHeight="true" outlineLevel="0" collapsed="false">
      <c r="A30" s="13" t="s">
        <v>137</v>
      </c>
      <c r="B30" s="13"/>
      <c r="C30" s="13"/>
      <c r="D30" s="13"/>
      <c r="E30" s="13"/>
      <c r="F30" s="13"/>
    </row>
    <row r="31" customFormat="false" ht="18" hidden="false" customHeight="true" outlineLevel="0" collapsed="false">
      <c r="A31" s="14" t="s">
        <v>138</v>
      </c>
      <c r="B31" s="26" t="n">
        <v>0.1</v>
      </c>
    </row>
    <row r="32" customFormat="false" ht="18" hidden="false" customHeight="true" outlineLevel="0" collapsed="false">
      <c r="A32" s="14" t="s">
        <v>139</v>
      </c>
      <c r="B32" s="30" t="n">
        <f aca="false">B28/(1+$B$31)^1+C28/(1+$B$31)^2+D28/(1+$B$31)^3+E28/(1+$B$31)^4+F28/(1+$B$31)^5</f>
        <v>9348.94924589105</v>
      </c>
    </row>
    <row r="33" customFormat="false" ht="18" hidden="false" customHeight="true" outlineLevel="0" collapsed="false">
      <c r="A33" s="14" t="s">
        <v>140</v>
      </c>
      <c r="B33" s="42" t="n">
        <f aca="false">F28*(1+0.02)/($B$31-0.02)/(1+$B$31)^5</f>
        <v>35625.360910519</v>
      </c>
    </row>
    <row r="34" customFormat="false" ht="19.5" hidden="false" customHeight="true" outlineLevel="0" collapsed="false">
      <c r="A34" s="43" t="s">
        <v>141</v>
      </c>
      <c r="B34" s="41" t="n">
        <f aca="false">B32+B33</f>
        <v>44974.3101564101</v>
      </c>
    </row>
  </sheetData>
  <mergeCells count="6">
    <mergeCell ref="A1:F1"/>
    <mergeCell ref="A4:F4"/>
    <mergeCell ref="A10:F10"/>
    <mergeCell ref="A17:F17"/>
    <mergeCell ref="A23:F23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5" min="2" style="0" width="18"/>
  </cols>
  <sheetData>
    <row r="1" customFormat="false" ht="25.5" hidden="false" customHeight="true" outlineLevel="0" collapsed="false">
      <c r="A1" s="12" t="s">
        <v>142</v>
      </c>
      <c r="B1" s="12"/>
      <c r="C1" s="12"/>
      <c r="D1" s="12"/>
      <c r="E1" s="12"/>
    </row>
    <row r="2" customFormat="false" ht="7.5" hidden="false" customHeight="true" outlineLevel="0" collapsed="false">
      <c r="A2" s="2"/>
      <c r="B2" s="2"/>
      <c r="C2" s="2"/>
      <c r="D2" s="2"/>
      <c r="E2" s="2"/>
    </row>
    <row r="3" customFormat="false" ht="21.75" hidden="false" customHeight="true" outlineLevel="0" collapsed="false">
      <c r="A3" s="31" t="s">
        <v>77</v>
      </c>
      <c r="B3" s="32" t="s">
        <v>143</v>
      </c>
      <c r="C3" s="32" t="s">
        <v>144</v>
      </c>
      <c r="D3" s="32" t="s">
        <v>145</v>
      </c>
      <c r="E3" s="32" t="s">
        <v>146</v>
      </c>
      <c r="F3" s="32" t="s">
        <v>147</v>
      </c>
    </row>
    <row r="4" customFormat="false" ht="7.5" hidden="false" customHeight="true" outlineLevel="0" collapsed="false">
      <c r="A4" s="13" t="s">
        <v>148</v>
      </c>
      <c r="B4" s="13"/>
      <c r="C4" s="13"/>
      <c r="D4" s="13"/>
      <c r="E4" s="13"/>
    </row>
    <row r="5" customFormat="false" ht="18" hidden="false" customHeight="true" outlineLevel="0" collapsed="false">
      <c r="A5" s="14" t="s">
        <v>149</v>
      </c>
      <c r="B5" s="36" t="n">
        <f aca="false">'Standalone Financials'!C5</f>
        <v>191000</v>
      </c>
      <c r="C5" s="36" t="n">
        <f aca="false">'Standalone Financials'!E5</f>
        <v>21200</v>
      </c>
      <c r="D5" s="36" t="n">
        <f aca="false">Synergies!D8</f>
        <v>2100</v>
      </c>
      <c r="E5" s="23" t="n">
        <v>0</v>
      </c>
      <c r="F5" s="30" t="n">
        <f aca="false">B5+C5+D5+E5</f>
        <v>214300</v>
      </c>
    </row>
    <row r="6" customFormat="false" ht="18" hidden="false" customHeight="true" outlineLevel="0" collapsed="false">
      <c r="A6" s="14" t="s">
        <v>150</v>
      </c>
      <c r="B6" s="36" t="n">
        <f aca="false">'Standalone Financials'!C6</f>
        <v>9500</v>
      </c>
      <c r="C6" s="36" t="n">
        <f aca="false">'Standalone Financials'!E6</f>
        <v>0</v>
      </c>
      <c r="D6" s="23" t="n">
        <v>0</v>
      </c>
      <c r="E6" s="23" t="n">
        <v>0</v>
      </c>
      <c r="F6" s="42" t="n">
        <f aca="false">B6+C6+D6+E6</f>
        <v>9500</v>
      </c>
    </row>
    <row r="7" customFormat="false" ht="18" hidden="false" customHeight="true" outlineLevel="0" collapsed="false">
      <c r="A7" s="14" t="s">
        <v>151</v>
      </c>
      <c r="B7" s="36" t="n">
        <f aca="false">'Standalone Financials'!C7</f>
        <v>90000</v>
      </c>
      <c r="C7" s="36" t="n">
        <f aca="false">'Standalone Financials'!E7</f>
        <v>13200</v>
      </c>
      <c r="D7" s="23" t="n">
        <v>0</v>
      </c>
      <c r="E7" s="36" t="n">
        <f aca="false">-Synergies!D15</f>
        <v>-2400</v>
      </c>
      <c r="F7" s="42" t="n">
        <f aca="false">B7+C7+D7+E7</f>
        <v>100800</v>
      </c>
    </row>
    <row r="8" customFormat="false" ht="18" hidden="false" customHeight="true" outlineLevel="0" collapsed="false">
      <c r="A8" s="33" t="s">
        <v>152</v>
      </c>
      <c r="B8" s="23" t="n">
        <v>0</v>
      </c>
      <c r="C8" s="23" t="n">
        <v>0</v>
      </c>
      <c r="D8" s="23" t="n">
        <v>0</v>
      </c>
      <c r="E8" s="36" t="n">
        <f aca="false">Synergies!D21</f>
        <v>400</v>
      </c>
      <c r="F8" s="42" t="n">
        <f aca="false">B8+C8+D8+E8</f>
        <v>400</v>
      </c>
    </row>
    <row r="9" customFormat="false" ht="18" hidden="false" customHeight="true" outlineLevel="0" collapsed="false">
      <c r="A9" s="44" t="s">
        <v>153</v>
      </c>
      <c r="B9" s="23" t="n">
        <v>0</v>
      </c>
      <c r="C9" s="23" t="n">
        <v>0</v>
      </c>
      <c r="D9" s="23" t="n">
        <v>0</v>
      </c>
      <c r="E9" s="23" t="n">
        <v>800</v>
      </c>
      <c r="F9" s="42" t="n">
        <f aca="false">B9+C9+D9+E9</f>
        <v>800</v>
      </c>
    </row>
    <row r="10" customFormat="false" ht="18" hidden="false" customHeight="true" outlineLevel="0" collapsed="false">
      <c r="A10" s="33" t="s">
        <v>154</v>
      </c>
      <c r="B10" s="23" t="n">
        <v>0</v>
      </c>
      <c r="C10" s="23" t="n">
        <v>0</v>
      </c>
      <c r="D10" s="23" t="n">
        <v>0</v>
      </c>
      <c r="E10" s="42" t="n">
        <f aca="false">'Deal Terms'!B20*0.05</f>
        <v>2.4975</v>
      </c>
      <c r="F10" s="42" t="n">
        <f aca="false">B10+C10+D10+E10</f>
        <v>2.4975</v>
      </c>
    </row>
    <row r="12" customFormat="false" ht="19.5" hidden="false" customHeight="true" outlineLevel="0" collapsed="false">
      <c r="A12" s="43" t="s">
        <v>155</v>
      </c>
      <c r="B12" s="41" t="n">
        <f aca="false">B5-B6-B7-B8-B9-B10</f>
        <v>91500</v>
      </c>
      <c r="C12" s="41" t="n">
        <f aca="false">C5-C6-C7-C8-C9-C10</f>
        <v>8000</v>
      </c>
      <c r="D12" s="41" t="n">
        <f aca="false">D5-D6-D7-D8-D9-D10</f>
        <v>2100</v>
      </c>
      <c r="E12" s="41" t="n">
        <f aca="false">E5-E6-E7-E8-E9-E10</f>
        <v>1197.5025</v>
      </c>
      <c r="F12" s="41" t="n">
        <f aca="false">F5-F6-F7-F8-F9-F10</f>
        <v>102797.5025</v>
      </c>
    </row>
    <row r="13" customFormat="false" ht="18" hidden="false" customHeight="true" outlineLevel="0" collapsed="false">
      <c r="A13" s="33" t="s">
        <v>156</v>
      </c>
      <c r="B13" s="42" t="n">
        <f aca="false">B12*0.213</f>
        <v>19489.5</v>
      </c>
      <c r="C13" s="42" t="n">
        <f aca="false">C12*0.213</f>
        <v>1704</v>
      </c>
      <c r="D13" s="42" t="n">
        <f aca="false">D12*0.213</f>
        <v>447.3</v>
      </c>
      <c r="E13" s="42" t="n">
        <f aca="false">E12*0.213</f>
        <v>255.0680325</v>
      </c>
      <c r="F13" s="42" t="n">
        <f aca="false">F12*0.213</f>
        <v>21895.8680325</v>
      </c>
    </row>
    <row r="14" customFormat="false" ht="21.75" hidden="false" customHeight="true" outlineLevel="0" collapsed="false">
      <c r="A14" s="43" t="s">
        <v>157</v>
      </c>
      <c r="B14" s="41" t="n">
        <f aca="false">B12-B13</f>
        <v>72010.5</v>
      </c>
      <c r="C14" s="41" t="n">
        <f aca="false">C12-C13</f>
        <v>6296</v>
      </c>
      <c r="D14" s="41" t="n">
        <f aca="false">D12-D13</f>
        <v>1652.7</v>
      </c>
      <c r="E14" s="41" t="n">
        <f aca="false">E12-E13</f>
        <v>942.4344675</v>
      </c>
      <c r="F14" s="41" t="n">
        <f aca="false">F12-F13</f>
        <v>80901.6344675</v>
      </c>
    </row>
    <row r="16" customFormat="false" ht="7.5" hidden="false" customHeight="true" outlineLevel="0" collapsed="false">
      <c r="A16" s="13" t="s">
        <v>158</v>
      </c>
      <c r="B16" s="13"/>
      <c r="C16" s="13"/>
      <c r="D16" s="13"/>
      <c r="E16" s="13"/>
    </row>
    <row r="17" customFormat="false" ht="18" hidden="false" customHeight="true" outlineLevel="0" collapsed="false">
      <c r="A17" s="14" t="s">
        <v>159</v>
      </c>
      <c r="B17" s="45" t="n">
        <f aca="false">'Deal Terms'!B25</f>
        <v>2850</v>
      </c>
      <c r="C17" s="45" t="n">
        <f aca="false">'Deal Terms'!B25</f>
        <v>2850</v>
      </c>
      <c r="D17" s="45" t="n">
        <f aca="false">'Deal Terms'!B25</f>
        <v>2850</v>
      </c>
      <c r="E17" s="45" t="n">
        <f aca="false">'Deal Terms'!B25</f>
        <v>2850</v>
      </c>
      <c r="F17" s="45" t="n">
        <f aca="false">'Deal Terms'!B25</f>
        <v>2850</v>
      </c>
    </row>
    <row r="18" customFormat="false" ht="18" hidden="false" customHeight="true" outlineLevel="0" collapsed="false">
      <c r="A18" s="33" t="s">
        <v>160</v>
      </c>
      <c r="B18" s="17" t="n">
        <v>0</v>
      </c>
      <c r="C18" s="17" t="n">
        <v>0</v>
      </c>
      <c r="D18" s="17" t="n">
        <v>0</v>
      </c>
      <c r="E18" s="17" t="n">
        <v>0</v>
      </c>
      <c r="F18" s="45" t="n">
        <f aca="false">'Deal Terms'!B24</f>
        <v>485.625</v>
      </c>
    </row>
    <row r="19" customFormat="false" ht="19.5" hidden="false" customHeight="true" outlineLevel="0" collapsed="false">
      <c r="A19" s="43" t="s">
        <v>161</v>
      </c>
      <c r="B19" s="46" t="n">
        <f aca="false">B17+B18</f>
        <v>2850</v>
      </c>
      <c r="C19" s="46" t="n">
        <f aca="false">C17+C18</f>
        <v>2850</v>
      </c>
      <c r="D19" s="46" t="n">
        <f aca="false">D17+D18</f>
        <v>2850</v>
      </c>
      <c r="E19" s="46" t="n">
        <f aca="false">E17+E18</f>
        <v>2850</v>
      </c>
      <c r="F19" s="46" t="n">
        <f aca="false">F17+F18</f>
        <v>3335.625</v>
      </c>
    </row>
    <row r="21" customFormat="false" ht="7.5" hidden="false" customHeight="true" outlineLevel="0" collapsed="false">
      <c r="A21" s="13" t="s">
        <v>162</v>
      </c>
      <c r="B21" s="13"/>
      <c r="C21" s="13"/>
      <c r="D21" s="13"/>
      <c r="E21" s="13"/>
    </row>
    <row r="22" customFormat="false" ht="18" hidden="false" customHeight="true" outlineLevel="0" collapsed="false">
      <c r="A22" s="14" t="s">
        <v>163</v>
      </c>
      <c r="B22" s="47" t="n">
        <f aca="false">B14/B19*1000</f>
        <v>25266.8421052632</v>
      </c>
      <c r="C22" s="48" t="s">
        <v>164</v>
      </c>
      <c r="D22" s="48" t="s">
        <v>164</v>
      </c>
      <c r="E22" s="48" t="s">
        <v>164</v>
      </c>
      <c r="F22" s="48" t="s">
        <v>164</v>
      </c>
    </row>
    <row r="23" customFormat="false" ht="18" hidden="false" customHeight="true" outlineLevel="0" collapsed="false">
      <c r="A23" s="14" t="s">
        <v>165</v>
      </c>
      <c r="B23" s="48" t="s">
        <v>164</v>
      </c>
      <c r="C23" s="48" t="s">
        <v>164</v>
      </c>
      <c r="D23" s="48" t="s">
        <v>164</v>
      </c>
      <c r="E23" s="48" t="s">
        <v>164</v>
      </c>
      <c r="F23" s="47" t="n">
        <f aca="false">F14/F19*1000</f>
        <v>24253.8158418587</v>
      </c>
    </row>
    <row r="25" customFormat="false" ht="21.75" hidden="false" customHeight="true" outlineLevel="0" collapsed="false">
      <c r="A25" s="19" t="s">
        <v>166</v>
      </c>
      <c r="B25" s="49"/>
      <c r="C25" s="49"/>
      <c r="D25" s="49"/>
      <c r="E25" s="49"/>
      <c r="F25" s="50" t="n">
        <f aca="false">F23-B22</f>
        <v>-1013.02626340444</v>
      </c>
    </row>
    <row r="26" customFormat="false" ht="21.75" hidden="false" customHeight="true" outlineLevel="0" collapsed="false">
      <c r="A26" s="19" t="s">
        <v>167</v>
      </c>
      <c r="B26" s="49"/>
      <c r="C26" s="49"/>
      <c r="D26" s="49"/>
      <c r="E26" s="49"/>
      <c r="F26" s="51" t="n">
        <f aca="false">IF(B22=0,0,F23/B22-1)</f>
        <v>-0.0400931093479792</v>
      </c>
    </row>
    <row r="28" customFormat="false" ht="7.5" hidden="false" customHeight="true" outlineLevel="0" collapsed="false">
      <c r="A28" s="13" t="s">
        <v>168</v>
      </c>
      <c r="B28" s="13"/>
      <c r="C28" s="13"/>
      <c r="D28" s="13"/>
      <c r="E28" s="13"/>
    </row>
    <row r="29" customFormat="false" ht="15.75" hidden="false" customHeight="true" outlineLevel="0" collapsed="false">
      <c r="B29" s="52" t="s">
        <v>169</v>
      </c>
    </row>
    <row r="30" customFormat="false" ht="15.75" hidden="false" customHeight="true" outlineLevel="0" collapsed="false">
      <c r="B30" s="52" t="s">
        <v>170</v>
      </c>
    </row>
    <row r="31" customFormat="false" ht="15.75" hidden="false" customHeight="true" outlineLevel="0" collapsed="false">
      <c r="B31" s="52" t="s">
        <v>171</v>
      </c>
    </row>
    <row r="32" customFormat="false" ht="6" hidden="false" customHeight="true" outlineLevel="0" collapsed="false">
      <c r="B32" s="38" t="n">
        <f aca="false">F26</f>
        <v>-0.0400931093479792</v>
      </c>
    </row>
  </sheetData>
  <mergeCells count="5">
    <mergeCell ref="A1:E1"/>
    <mergeCell ref="A4:E4"/>
    <mergeCell ref="A16:E16"/>
    <mergeCell ref="A21:E21"/>
    <mergeCell ref="A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4"/>
  </cols>
  <sheetData>
    <row r="1" customFormat="false" ht="25.5" hidden="false" customHeight="true" outlineLevel="0" collapsed="false">
      <c r="A1" s="12" t="s">
        <v>172</v>
      </c>
      <c r="B1" s="12"/>
      <c r="C1" s="12"/>
      <c r="D1" s="12"/>
      <c r="E1" s="12"/>
      <c r="F1" s="12"/>
      <c r="G1" s="12"/>
      <c r="H1" s="12"/>
    </row>
    <row r="2" customFormat="false" ht="7.5" hidden="false" customHeight="tru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53" t="s">
        <v>173</v>
      </c>
      <c r="B3" s="53"/>
      <c r="C3" s="53"/>
      <c r="D3" s="53"/>
      <c r="E3" s="53"/>
      <c r="F3" s="53"/>
      <c r="G3" s="53"/>
      <c r="H3" s="53"/>
    </row>
    <row r="5" customFormat="false" ht="7.5" hidden="false" customHeight="true" outlineLevel="0" collapsed="false">
      <c r="A5" s="13" t="s">
        <v>174</v>
      </c>
      <c r="B5" s="13"/>
      <c r="C5" s="13"/>
      <c r="D5" s="13"/>
      <c r="E5" s="13"/>
      <c r="F5" s="13"/>
      <c r="G5" s="13"/>
      <c r="H5" s="13"/>
    </row>
    <row r="6" customFormat="false" ht="21.75" hidden="false" customHeight="true" outlineLevel="0" collapsed="false">
      <c r="A6" s="32" t="s">
        <v>175</v>
      </c>
      <c r="B6" s="54" t="n">
        <v>0.5</v>
      </c>
      <c r="C6" s="54" t="n">
        <v>0.6</v>
      </c>
      <c r="D6" s="55" t="n">
        <v>0.7</v>
      </c>
      <c r="E6" s="54" t="n">
        <v>0.8</v>
      </c>
      <c r="F6" s="54" t="n">
        <v>0.9</v>
      </c>
      <c r="G6" s="2"/>
      <c r="H6" s="2"/>
    </row>
    <row r="7" customFormat="false" ht="18" hidden="false" customHeight="true" outlineLevel="0" collapsed="false">
      <c r="A7" s="56" t="n">
        <v>80</v>
      </c>
      <c r="B7" s="47" t="n">
        <f aca="false">(('Standalone Financials'!C10+'Standalone Financials'!E10+Synergies!D8+Synergies!D15-Synergies!D21-800-(80*'Deal Terms'!B5/1000*0.5)*0.05)*(1-0.213))/('Deal Terms'!B25+'Deal Terms'!B5*80/'Deal Terms'!B22*0.5)*1000-'Accretion Dilution'!B22</f>
        <v>-4873.07375605681</v>
      </c>
      <c r="C7" s="47" t="n">
        <f aca="false">(('Standalone Financials'!C10+'Standalone Financials'!E10+Synergies!D8+Synergies!D15-Synergies!D21-800-(80*'Deal Terms'!B5/1000*0.4)*0.05)*(1-0.213))/('Deal Terms'!B25+'Deal Terms'!B5*80/'Deal Terms'!B22*0.6)*1000-'Accretion Dilution'!B22</f>
        <v>-5254.08916445319</v>
      </c>
      <c r="D7" s="47" t="n">
        <f aca="false">(('Standalone Financials'!C10+'Standalone Financials'!E10+Synergies!D8+Synergies!D15-Synergies!D21-800-(80*'Deal Terms'!B5/1000*0.3)*0.05)*(1-0.213))/('Deal Terms'!B25+'Deal Terms'!B5*80/'Deal Terms'!B22*0.7)*1000-'Accretion Dilution'!B22</f>
        <v>-5621.12235602769</v>
      </c>
      <c r="E7" s="47" t="n">
        <f aca="false">(('Standalone Financials'!C10+'Standalone Financials'!E10+Synergies!D8+Synergies!D15-Synergies!D21-800-(80*'Deal Terms'!B5/1000*0.2)*0.05)*(1-0.213))/('Deal Terms'!B25+'Deal Terms'!B5*80/'Deal Terms'!B22*0.8)*1000-'Accretion Dilution'!B22</f>
        <v>-5974.92912628418</v>
      </c>
      <c r="F7" s="47" t="n">
        <f aca="false">(('Standalone Financials'!C10+'Standalone Financials'!E10+Synergies!D8+Synergies!D15-Synergies!D21-800-(80*'Deal Terms'!B5/1000*0.1)*0.05)*(1-0.213))/('Deal Terms'!B25+'Deal Terms'!B5*80/'Deal Terms'!B22*0.9)*1000-'Accretion Dilution'!B22</f>
        <v>-6316.21176308027</v>
      </c>
      <c r="G7" s="6"/>
      <c r="H7" s="6"/>
    </row>
    <row r="8" customFormat="false" ht="18" hidden="false" customHeight="true" outlineLevel="0" collapsed="false">
      <c r="A8" s="56" t="n">
        <v>85</v>
      </c>
      <c r="B8" s="47" t="n">
        <f aca="false">(('Standalone Financials'!C10+'Standalone Financials'!E10+Synergies!D8+Synergies!D15-Synergies!D21-800-(85*'Deal Terms'!B5/1000*0.5)*0.05)*(1-0.213))/('Deal Terms'!B25+'Deal Terms'!B5*85/'Deal Terms'!B22*0.5)*1000-'Accretion Dilution'!B22</f>
        <v>-4993.80282321188</v>
      </c>
      <c r="C8" s="47" t="n">
        <f aca="false">(('Standalone Financials'!C10+'Standalone Financials'!E10+Synergies!D8+Synergies!D15-Synergies!D21-800-(85*'Deal Terms'!B5/1000*0.4)*0.05)*(1-0.213))/('Deal Terms'!B25+'Deal Terms'!B5*85/'Deal Terms'!B22*0.6)*1000-'Accretion Dilution'!B22</f>
        <v>-5393.43289257948</v>
      </c>
      <c r="D8" s="47" t="n">
        <f aca="false">(('Standalone Financials'!C10+'Standalone Financials'!E10+Synergies!D8+Synergies!D15-Synergies!D21-800-(85*'Deal Terms'!B5/1000*0.3)*0.05)*(1-0.213))/('Deal Terms'!B25+'Deal Terms'!B5*85/'Deal Terms'!B22*0.7)*1000-'Accretion Dilution'!B22</f>
        <v>-5777.60514356426</v>
      </c>
      <c r="E8" s="47" t="n">
        <f aca="false">(('Standalone Financials'!C10+'Standalone Financials'!E10+Synergies!D8+Synergies!D15-Synergies!D21-800-(85*'Deal Terms'!B5/1000*0.2)*0.05)*(1-0.213))/('Deal Terms'!B25+'Deal Terms'!B5*85/'Deal Terms'!B22*0.8)*1000-'Accretion Dilution'!B22</f>
        <v>-6147.19942966792</v>
      </c>
      <c r="F8" s="47" t="n">
        <f aca="false">(('Standalone Financials'!C10+'Standalone Financials'!E10+Synergies!D8+Synergies!D15-Synergies!D21-800-(85*'Deal Terms'!B5/1000*0.1)*0.05)*(1-0.213))/('Deal Terms'!B25+'Deal Terms'!B5*85/'Deal Terms'!B22*0.9)*1000-'Accretion Dilution'!B22</f>
        <v>-6503.03007313465</v>
      </c>
      <c r="G8" s="6"/>
      <c r="H8" s="6"/>
    </row>
    <row r="9" customFormat="false" ht="18" hidden="false" customHeight="true" outlineLevel="0" collapsed="false">
      <c r="A9" s="56" t="n">
        <v>87.5</v>
      </c>
      <c r="B9" s="47" t="n">
        <f aca="false">(('Standalone Financials'!C10+'Standalone Financials'!E10+Synergies!D8+Synergies!D15-Synergies!D21-800-(87.5*'Deal Terms'!B5/1000*0.5)*0.05)*(1-0.213))/('Deal Terms'!B25+'Deal Terms'!B5*87.5/'Deal Terms'!B22*0.5)*1000-'Accretion Dilution'!B22</f>
        <v>-5053.63315737722</v>
      </c>
      <c r="C9" s="47" t="n">
        <f aca="false">(('Standalone Financials'!C10+'Standalone Financials'!E10+Synergies!D8+Synergies!D15-Synergies!D21-800-(87.5*'Deal Terms'!B5/1000*0.4)*0.05)*(1-0.213))/('Deal Terms'!B25+'Deal Terms'!B5*87.5/'Deal Terms'!B22*0.6)*1000-'Accretion Dilution'!B22</f>
        <v>-5462.37984707433</v>
      </c>
      <c r="D9" s="47" t="n">
        <f aca="false">(('Standalone Financials'!C10+'Standalone Financials'!E10+Synergies!D8+Synergies!D15-Synergies!D21-800-(87.5*'Deal Terms'!B5/1000*0.3)*0.05)*(1-0.213))/('Deal Terms'!B25+'Deal Terms'!B5*87.5/'Deal Terms'!B22*0.7)*1000-'Accretion Dilution'!B22</f>
        <v>-5854.91561989961</v>
      </c>
      <c r="E9" s="47" t="n">
        <f aca="false">(('Standalone Financials'!C10+'Standalone Financials'!E10+Synergies!D8+Synergies!D15-Synergies!D21-800-(87.5*'Deal Terms'!B5/1000*0.2)*0.05)*(1-0.213))/('Deal Terms'!B25+'Deal Terms'!B5*87.5/'Deal Terms'!B22*0.8)*1000-'Accretion Dilution'!B22</f>
        <v>-6232.18611267057</v>
      </c>
      <c r="F9" s="47" t="n">
        <f aca="false">(('Standalone Financials'!C10+'Standalone Financials'!E10+Synergies!D8+Synergies!D15-Synergies!D21-800-(87.5*'Deal Terms'!B5/1000*0.1)*0.05)*(1-0.213))/('Deal Terms'!B25+'Deal Terms'!B5*87.5/'Deal Terms'!B22*0.9)*1000-'Accretion Dilution'!B22</f>
        <v>-6595.06481552656</v>
      </c>
      <c r="G9" s="6"/>
      <c r="H9" s="6"/>
    </row>
    <row r="10" customFormat="false" ht="18" hidden="false" customHeight="true" outlineLevel="0" collapsed="false">
      <c r="A10" s="56" t="n">
        <v>90</v>
      </c>
      <c r="B10" s="47" t="n">
        <f aca="false">(('Standalone Financials'!C10+'Standalone Financials'!E10+Synergies!D8+Synergies!D15-Synergies!D21-800-(90*'Deal Terms'!B5/1000*0.5)*0.05)*(1-0.213))/('Deal Terms'!B25+'Deal Terms'!B5*90/'Deal Terms'!B22*0.5)*1000-'Accretion Dilution'!B22</f>
        <v>-5113.11154840041</v>
      </c>
      <c r="C10" s="47" t="n">
        <f aca="false">(('Standalone Financials'!C10+'Standalone Financials'!E10+Synergies!D8+Synergies!D15-Synergies!D21-800-(90*'Deal Terms'!B5/1000*0.4)*0.05)*(1-0.213))/('Deal Terms'!B25+'Deal Terms'!B5*90/'Deal Terms'!B22*0.6)*1000-'Accretion Dilution'!B22</f>
        <v>-5530.85020971785</v>
      </c>
      <c r="D10" s="47" t="n">
        <f aca="false">(('Standalone Financials'!C10+'Standalone Financials'!E10+Synergies!D8+Synergies!D15-Synergies!D21-800-(90*'Deal Terms'!B5/1000*0.3)*0.05)*(1-0.213))/('Deal Terms'!B25+'Deal Terms'!B5*90/'Deal Terms'!B22*0.7)*1000-'Accretion Dilution'!B22</f>
        <v>-5931.61529111719</v>
      </c>
      <c r="E10" s="47" t="n">
        <f aca="false">(('Standalone Financials'!C10+'Standalone Financials'!E10+Synergies!D8+Synergies!D15-Synergies!D21-800-(90*'Deal Terms'!B5/1000*0.2)*0.05)*(1-0.213))/('Deal Terms'!B25+'Deal Terms'!B5*90/'Deal Terms'!B22*0.8)*1000-'Accretion Dilution'!B22</f>
        <v>-6316.42070113336</v>
      </c>
      <c r="F10" s="47" t="n">
        <f aca="false">(('Standalone Financials'!C10+'Standalone Financials'!E10+Synergies!D8+Synergies!D15-Synergies!D21-800-(90*'Deal Terms'!B5/1000*0.1)*0.05)*(1-0.213))/('Deal Terms'!B25+'Deal Terms'!B5*90/'Deal Terms'!B22*0.9)*1000-'Accretion Dilution'!B22</f>
        <v>-6686.20117106215</v>
      </c>
      <c r="G10" s="6"/>
      <c r="H10" s="6"/>
    </row>
    <row r="11" customFormat="false" ht="18" hidden="false" customHeight="true" outlineLevel="0" collapsed="false">
      <c r="A11" s="57" t="n">
        <v>92.5</v>
      </c>
      <c r="B11" s="47" t="n">
        <f aca="false">(('Standalone Financials'!C10+'Standalone Financials'!E10+Synergies!D8+Synergies!D15-Synergies!D21-800-(92.5*'Deal Terms'!B5/1000*0.5)*0.05)*(1-0.213))/('Deal Terms'!B25+'Deal Terms'!B5*92.5/'Deal Terms'!B22*0.5)*1000-'Accretion Dilution'!B22</f>
        <v>-5172.24109255544</v>
      </c>
      <c r="C11" s="47" t="n">
        <f aca="false">(('Standalone Financials'!C10+'Standalone Financials'!E10+Synergies!D8+Synergies!D15-Synergies!D21-800-(92.5*'Deal Terms'!B5/1000*0.4)*0.05)*(1-0.213))/('Deal Terms'!B25+'Deal Terms'!B5*92.5/'Deal Terms'!B22*0.6)*1000-'Accretion Dilution'!B22</f>
        <v>-5598.84890511008</v>
      </c>
      <c r="D11" s="58" t="n">
        <f aca="false">(('Standalone Financials'!C10+'Standalone Financials'!E10+Synergies!D8+Synergies!D15-Synergies!D21-800-(92.5*'Deal Terms'!B5/1000*0.3)*0.05)*(1-0.213))/('Deal Terms'!B25+'Deal Terms'!B5*92.5/'Deal Terms'!B22*0.7)*1000-'Accretion Dilution'!B22</f>
        <v>-6007.71136739544</v>
      </c>
      <c r="E11" s="47" t="n">
        <f aca="false">(('Standalone Financials'!C10+'Standalone Financials'!E10+Synergies!D8+Synergies!D15-Synergies!D21-800-(92.5*'Deal Terms'!B5/1000*0.2)*0.05)*(1-0.213))/('Deal Terms'!B25+'Deal Terms'!B5*92.5/'Deal Terms'!B22*0.8)*1000-'Accretion Dilution'!B22</f>
        <v>-6399.91313463173</v>
      </c>
      <c r="F11" s="47" t="n">
        <f aca="false">(('Standalone Financials'!C10+'Standalone Financials'!E10+Synergies!D8+Synergies!D15-Synergies!D21-800-(92.5*'Deal Terms'!B5/1000*0.1)*0.05)*(1-0.213))/('Deal Terms'!B25+'Deal Terms'!B5*92.5/'Deal Terms'!B22*0.9)*1000-'Accretion Dilution'!B22</f>
        <v>-6776.45223010576</v>
      </c>
      <c r="G11" s="6"/>
      <c r="H11" s="6"/>
    </row>
    <row r="12" customFormat="false" ht="18" hidden="false" customHeight="true" outlineLevel="0" collapsed="false">
      <c r="A12" s="56" t="n">
        <v>95</v>
      </c>
      <c r="B12" s="47" t="n">
        <f aca="false">(('Standalone Financials'!C10+'Standalone Financials'!E10+Synergies!D8+Synergies!D15-Synergies!D21-800-(95*'Deal Terms'!B5/1000*0.5)*0.05)*(1-0.213))/('Deal Terms'!B25+'Deal Terms'!B5*95/'Deal Terms'!B22*0.5)*1000-'Accretion Dilution'!B22</f>
        <v>-5231.02484990253</v>
      </c>
      <c r="C12" s="47" t="n">
        <f aca="false">(('Standalone Financials'!C10+'Standalone Financials'!E10+Synergies!D8+Synergies!D15-Synergies!D21-800-(95*'Deal Terms'!B5/1000*0.4)*0.05)*(1-0.213))/('Deal Terms'!B25+'Deal Terms'!B5*95/'Deal Terms'!B22*0.6)*1000-'Accretion Dilution'!B22</f>
        <v>-5666.38079023646</v>
      </c>
      <c r="D12" s="47" t="n">
        <f aca="false">(('Standalone Financials'!C10+'Standalone Financials'!E10+Synergies!D8+Synergies!D15-Synergies!D21-800-(95*'Deal Terms'!B5/1000*0.3)*0.05)*(1-0.213))/('Deal Terms'!B25+'Deal Terms'!B5*95/'Deal Terms'!B22*0.7)*1000-'Accretion Dilution'!B22</f>
        <v>-6083.21094587533</v>
      </c>
      <c r="E12" s="47" t="n">
        <f aca="false">(('Standalone Financials'!C10+'Standalone Financials'!E10+Synergies!D8+Synergies!D15-Synergies!D21-800-(95*'Deal Terms'!B5/1000*0.2)*0.05)*(1-0.213))/('Deal Terms'!B25+'Deal Terms'!B5*95/'Deal Terms'!B22*0.8)*1000-'Accretion Dilution'!B22</f>
        <v>-6482.67317836258</v>
      </c>
      <c r="F12" s="47" t="n">
        <f aca="false">(('Standalone Financials'!C10+'Standalone Financials'!E10+Synergies!D8+Synergies!D15-Synergies!D21-800-(95*'Deal Terms'!B5/1000*0.1)*0.05)*(1-0.213))/('Deal Terms'!B25+'Deal Terms'!B5*95/'Deal Terms'!B22*0.9)*1000-'Accretion Dilution'!B22</f>
        <v>-6865.83082993198</v>
      </c>
      <c r="G12" s="6"/>
      <c r="H12" s="6"/>
    </row>
    <row r="13" customFormat="false" ht="18" hidden="false" customHeight="true" outlineLevel="0" collapsed="false">
      <c r="A13" s="56" t="n">
        <v>97.5</v>
      </c>
      <c r="B13" s="47" t="n">
        <f aca="false">(('Standalone Financials'!C10+'Standalone Financials'!E10+Synergies!D8+Synergies!D15-Synergies!D21-800-(97.5*'Deal Terms'!B5/1000*0.5)*0.05)*(1-0.213))/('Deal Terms'!B25+'Deal Terms'!B5*97.5/'Deal Terms'!B22*0.5)*1000-'Accretion Dilution'!B22</f>
        <v>-5289.46584481612</v>
      </c>
      <c r="C13" s="47" t="n">
        <f aca="false">(('Standalone Financials'!C10+'Standalone Financials'!E10+Synergies!D8+Synergies!D15-Synergies!D21-800-(97.5*'Deal Terms'!B5/1000*0.4)*0.05)*(1-0.213))/('Deal Terms'!B25+'Deal Terms'!B5*97.5/'Deal Terms'!B22*0.6)*1000-'Accretion Dilution'!B22</f>
        <v>-5733.45065562424</v>
      </c>
      <c r="D13" s="47" t="n">
        <f aca="false">(('Standalone Financials'!C10+'Standalone Financials'!E10+Synergies!D8+Synergies!D15-Synergies!D21-800-(97.5*'Deal Terms'!B5/1000*0.3)*0.05)*(1-0.213))/('Deal Terms'!B25+'Deal Terms'!B5*97.5/'Deal Terms'!B22*0.7)*1000-'Accretion Dilution'!B22</f>
        <v>-6158.12101286681</v>
      </c>
      <c r="E13" s="47" t="n">
        <f aca="false">(('Standalone Financials'!C10+'Standalone Financials'!E10+Synergies!D8+Synergies!D15-Synergies!D21-800-(97.5*'Deal Terms'!B5/1000*0.2)*0.05)*(1-0.213))/('Deal Terms'!B25+'Deal Terms'!B5*97.5/'Deal Terms'!B22*0.8)*1000-'Accretion Dilution'!B22</f>
        <v>-6564.71042695166</v>
      </c>
      <c r="F13" s="47" t="n">
        <f aca="false">(('Standalone Financials'!C10+'Standalone Financials'!E10+Synergies!D8+Synergies!D15-Synergies!D21-800-(97.5*'Deal Terms'!B5/1000*0.1)*0.05)*(1-0.213))/('Deal Terms'!B25+'Deal Terms'!B5*97.5/'Deal Terms'!B22*0.9)*1000-'Accretion Dilution'!B22</f>
        <v>-6954.34956081278</v>
      </c>
      <c r="G13" s="6"/>
      <c r="H13" s="6"/>
    </row>
    <row r="14" customFormat="false" ht="18" hidden="false" customHeight="true" outlineLevel="0" collapsed="false">
      <c r="A14" s="56" t="n">
        <v>100</v>
      </c>
      <c r="B14" s="47" t="n">
        <f aca="false">(('Standalone Financials'!C10+'Standalone Financials'!E10+Synergies!D8+Synergies!D15-Synergies!D21-800-(100*'Deal Terms'!B5/1000*0.5)*0.05)*(1-0.213))/('Deal Terms'!B25+'Deal Terms'!B5*100/'Deal Terms'!B22*0.5)*1000-'Accretion Dilution'!B22</f>
        <v>-5347.56706650347</v>
      </c>
      <c r="C14" s="47" t="n">
        <f aca="false">(('Standalone Financials'!C10+'Standalone Financials'!E10+Synergies!D8+Synergies!D15-Synergies!D21-800-(100*'Deal Terms'!B5/1000*0.4)*0.05)*(1-0.213))/('Deal Terms'!B25+'Deal Terms'!B5*100/'Deal Terms'!B22*0.6)*1000-'Accretion Dilution'!B22</f>
        <v>-5800.06322647528</v>
      </c>
      <c r="D14" s="47" t="n">
        <f aca="false">(('Standalone Financials'!C10+'Standalone Financials'!E10+Synergies!D8+Synergies!D15-Synergies!D21-800-(100*'Deal Terms'!B5/1000*0.3)*0.05)*(1-0.213))/('Deal Terms'!B25+'Deal Terms'!B5*100/'Deal Terms'!B22*0.7)*1000-'Accretion Dilution'!B22</f>
        <v>-6232.4484460039</v>
      </c>
      <c r="E14" s="47" t="n">
        <f aca="false">(('Standalone Financials'!C10+'Standalone Financials'!E10+Synergies!D8+Synergies!D15-Synergies!D21-800-(100*'Deal Terms'!B5/1000*0.2)*0.05)*(1-0.213))/('Deal Terms'!B25+'Deal Terms'!B5*100/'Deal Terms'!B22*0.8)*1000-'Accretion Dilution'!B22</f>
        <v>-6646.03430816171</v>
      </c>
      <c r="F14" s="47" t="n">
        <f aca="false">(('Standalone Financials'!C10+'Standalone Financials'!E10+Synergies!D8+Synergies!D15-Synergies!D21-800-(100*'Deal Terms'!B5/1000*0.1)*0.05)*(1-0.213))/('Deal Terms'!B25+'Deal Terms'!B5*100/'Deal Terms'!B22*0.9)*1000-'Accretion Dilution'!B22</f>
        <v>-7042.02077192983</v>
      </c>
      <c r="G14" s="6"/>
      <c r="H14" s="6"/>
    </row>
    <row r="16" customFormat="false" ht="13.5" hidden="false" customHeight="true" outlineLevel="0" collapsed="false">
      <c r="A16" s="59" t="s">
        <v>176</v>
      </c>
    </row>
  </sheetData>
  <mergeCells count="3">
    <mergeCell ref="A1:H1"/>
    <mergeCell ref="A3:H3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2026-04-13T05:01:51Z</dcterms:created>
  <dc:creator>openpyxl</dc:creator>
  <dc:description/>
  <dc:language>en-US</dc:language>
  <cp:lastModifiedBy/>
  <dcterms:modified xsi:type="dcterms:W3CDTF">2026-04-13T05:01:51Z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