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<sst xmlns="http://schemas.openxmlformats.org/spreadsheetml/2006/main" count="198" uniqueCount="181">
  <si>
    <t xml:space="preserve">HCA HEALTHCARE, INC. (HCA)</t>
  </si>
  <si>
    <t xml:space="preserve">Leveraged Buyout (LBO) Analysis  |  Hypothetical Private Equity Acquisition  |  Portfolio Model  |  April 2026</t>
  </si>
  <si>
    <t xml:space="preserve">KEY MODEL OUTPUTS</t>
  </si>
  <si>
    <t xml:space="preserve">Entry EV ($M)</t>
  </si>
  <si>
    <t xml:space="preserve">Entry EV/EBITDA</t>
  </si>
  <si>
    <t xml:space="preserve">Total Equity Invested ($M)</t>
  </si>
  <si>
    <t xml:space="preserve">Exit EV ($M)</t>
  </si>
  <si>
    <t xml:space="preserve">IRR (5-Year Hold)</t>
  </si>
  <si>
    <t xml:space="preserve">MOIC (5-Year Hold)</t>
  </si>
  <si>
    <t xml:space="preserve">Exit EV/EBITDA</t>
  </si>
  <si>
    <t xml:space="preserve">Hypothetical LBO for portfolio purposes only. Not investment advice. HCA went public in 2011 after a 2006 LBO. This model simulates a re-privatization scenario. Historical figures from HCA 10-K filings.</t>
  </si>
  <si>
    <t xml:space="preserve">Blue</t>
  </si>
  <si>
    <t xml:space="preserve">Hardcoded input</t>
  </si>
  <si>
    <t xml:space="preserve">Black</t>
  </si>
  <si>
    <t xml:space="preserve">Formula / calculated</t>
  </si>
  <si>
    <t xml:space="preserve">Green</t>
  </si>
  <si>
    <t xml:space="preserve">Cross-sheet ref</t>
  </si>
  <si>
    <t xml:space="preserve">LBO ASSUMPTIONS — HCA Healthcare (HCA)</t>
  </si>
  <si>
    <t xml:space="preserve">A  |  Entry Assumptions (Acquisition)</t>
  </si>
  <si>
    <t xml:space="preserve">  Transaction Date</t>
  </si>
  <si>
    <t xml:space="preserve">April 2026</t>
  </si>
  <si>
    <t xml:space="preserve">Hypothetical entry date</t>
  </si>
  <si>
    <t xml:space="preserve">  LTM Revenue at Entry ($M)</t>
  </si>
  <si>
    <t xml:space="preserve">Source: HCA FY2025 estimated revenue (consensus)</t>
  </si>
  <si>
    <t xml:space="preserve">  LTM EBITDA at Entry ($M)</t>
  </si>
  <si>
    <t xml:space="preserve">Source: HCA FY2025 estimated EBITDA (consensus); ~21.6% margin</t>
  </si>
  <si>
    <t xml:space="preserve">  LTM EBITDA Margin (%)</t>
  </si>
  <si>
    <t xml:space="preserve">Calculated</t>
  </si>
  <si>
    <t xml:space="preserve">  Entry Enterprise Value ($M)</t>
  </si>
  <si>
    <t xml:space="preserve">EV = EBITDA × Entry Multiple</t>
  </si>
  <si>
    <t xml:space="preserve">  Entry EV/EBITDA Multiple</t>
  </si>
  <si>
    <t xml:space="preserve">Peer group trading at 10-12x; slight control premium applied</t>
  </si>
  <si>
    <t xml:space="preserve">  (-) Net Debt at Entry ($M)</t>
  </si>
  <si>
    <t xml:space="preserve">Source: HCA FY2025E Net Debt (Total Debt less Cash)</t>
  </si>
  <si>
    <t xml:space="preserve">  Entry Equity Value ($M)</t>
  </si>
  <si>
    <t xml:space="preserve">EV less Net Debt</t>
  </si>
  <si>
    <t xml:space="preserve">  Shares Outstanding (M)</t>
  </si>
  <si>
    <t xml:space="preserve">Source: HCA FY2025 diluted share count</t>
  </si>
  <si>
    <t xml:space="preserve">  Implied Entry Price/Share ($)</t>
  </si>
  <si>
    <t xml:space="preserve">Entry Equity Value ÷ Shares</t>
  </si>
  <si>
    <t xml:space="preserve">B  |  Capital Structure at Entry (Sources of Funds)</t>
  </si>
  <si>
    <t xml:space="preserve">  Senior Secured Loan (Term Loan B)</t>
  </si>
  <si>
    <t xml:space="preserve">Typical LBO leverage: 3.5–4.5x EBITDA for healthcare</t>
  </si>
  <si>
    <t xml:space="preserve">  Senior Secured Notes</t>
  </si>
  <si>
    <t xml:space="preserve">High-yield secured debt tranche</t>
  </si>
  <si>
    <t xml:space="preserve">  Senior Unsecured Notes</t>
  </si>
  <si>
    <t xml:space="preserve">Subordinated to secured tranches</t>
  </si>
  <si>
    <t xml:space="preserve">  Total Debt (% of EV)</t>
  </si>
  <si>
    <t xml:space="preserve">Sum of debt tranches</t>
  </si>
  <si>
    <t xml:space="preserve">  Sponsor Equity (% of EV)</t>
  </si>
  <si>
    <t xml:space="preserve">1 - Total Debt %</t>
  </si>
  <si>
    <t xml:space="preserve">  Effective Interest Rate — TLB</t>
  </si>
  <si>
    <t xml:space="preserve">SOFR + 300bps spread; current SOFR ~4.5%</t>
  </si>
  <si>
    <t xml:space="preserve">  Effective Interest Rate — Sec Notes</t>
  </si>
  <si>
    <t xml:space="preserve">Fixed rate high-yield</t>
  </si>
  <si>
    <t xml:space="preserve">  Effective Interest Rate — Unsec</t>
  </si>
  <si>
    <t xml:space="preserve">Fixed rate; junior ranking</t>
  </si>
  <si>
    <t xml:space="preserve">  Mandatory Amortization (TLB)</t>
  </si>
  <si>
    <t xml:space="preserve">1% per annum on original balance</t>
  </si>
  <si>
    <t xml:space="preserve">  Cash Sweep (%)</t>
  </si>
  <si>
    <t xml:space="preserve">50% of excess FCF applied to debt repayment</t>
  </si>
  <si>
    <t xml:space="preserve">C  |  Exit Assumptions</t>
  </si>
  <si>
    <t xml:space="preserve">  Hold Period (Years)</t>
  </si>
  <si>
    <t xml:space="preserve">Standard PE hold period</t>
  </si>
  <si>
    <t xml:space="preserve">  Exit EV/EBITDA Multiple</t>
  </si>
  <si>
    <t xml:space="preserve">Slight premium to entry; assumes improved credit profile</t>
  </si>
  <si>
    <t xml:space="preserve">  Transaction Fees at Entry (% EV)</t>
  </si>
  <si>
    <t xml:space="preserve">M&amp;A advisory, financing, legal fees</t>
  </si>
  <si>
    <t xml:space="preserve">  Transaction Fees at Exit (% EV)</t>
  </si>
  <si>
    <t xml:space="preserve">Sell-side advisory and closing costs</t>
  </si>
  <si>
    <t xml:space="preserve">D  |  Operating Projection Assumptions (Post-LBO)</t>
  </si>
  <si>
    <t xml:space="preserve">  Revenue Growth (FY2026E)</t>
  </si>
  <si>
    <t xml:space="preserve">Strong same-store growth + bed expansion</t>
  </si>
  <si>
    <t xml:space="preserve">  Revenue Growth (FY2027E)</t>
  </si>
  <si>
    <t xml:space="preserve">Moderating growth as capacity fills</t>
  </si>
  <si>
    <t xml:space="preserve">  Revenue Growth (FY2028E)</t>
  </si>
  <si>
    <t xml:space="preserve">  Revenue Growth (FY2029E)</t>
  </si>
  <si>
    <t xml:space="preserve">  Revenue Growth (FY2030E)</t>
  </si>
  <si>
    <t xml:space="preserve">Exit year</t>
  </si>
  <si>
    <t xml:space="preserve">  EBITDA Margin (FY2026E)</t>
  </si>
  <si>
    <t xml:space="preserve">PE ownership drives operational efficiency</t>
  </si>
  <si>
    <t xml:space="preserve">  EBITDA Margin (FY2027E)</t>
  </si>
  <si>
    <t xml:space="preserve">Labor cost optimization, vendor renegotiation</t>
  </si>
  <si>
    <t xml:space="preserve">  EBITDA Margin (FY2028E)</t>
  </si>
  <si>
    <t xml:space="preserve">  EBITDA Margin (FY2029E)</t>
  </si>
  <si>
    <t xml:space="preserve">  EBITDA Margin (FY2030E)</t>
  </si>
  <si>
    <t xml:space="preserve">  D&amp;A (% Revenue)</t>
  </si>
  <si>
    <t xml:space="preserve">Depreciation on existing PP&amp;E + new capex</t>
  </si>
  <si>
    <t xml:space="preserve">  Capital Expenditures (% Rev)</t>
  </si>
  <si>
    <t xml:space="preserve">HCA is capex-intensive; ~6-7% historical</t>
  </si>
  <si>
    <t xml:space="preserve">  Change in NWC (% Rev Δ)</t>
  </si>
  <si>
    <t xml:space="preserve">  Cash Tax Rate (%)</t>
  </si>
  <si>
    <t xml:space="preserve">Higher rate post-LBO (interest deductibility partially offsets)</t>
  </si>
  <si>
    <t xml:space="preserve">SOURCES &amp; USES OF FUNDS  —  HCA Healthcare LBO ($M)</t>
  </si>
  <si>
    <t xml:space="preserve">USES OF FUNDS</t>
  </si>
  <si>
    <t xml:space="preserve">Amount ($M)</t>
  </si>
  <si>
    <t xml:space="preserve">% of Total Uses</t>
  </si>
  <si>
    <t xml:space="preserve">Notes</t>
  </si>
  <si>
    <t xml:space="preserve">  Purchase of Equity (Entry EV less Assumed Debt)</t>
  </si>
  <si>
    <t xml:space="preserve">  Refinance / Assume Existing Debt</t>
  </si>
  <si>
    <t xml:space="preserve">Replace existing HCA debt with LBO financing</t>
  </si>
  <si>
    <t xml:space="preserve">  Transaction Fees &amp; Expenses</t>
  </si>
  <si>
    <t xml:space="preserve">Advisory, financing, legal</t>
  </si>
  <si>
    <t xml:space="preserve">  OID / Financing Fees (Debt)</t>
  </si>
  <si>
    <t xml:space="preserve">~1% of EV; amortized over debt life</t>
  </si>
  <si>
    <t xml:space="preserve">Total Uses</t>
  </si>
  <si>
    <t xml:space="preserve">SOURCES OF FUNDS</t>
  </si>
  <si>
    <t xml:space="preserve">% of Total Sources</t>
  </si>
  <si>
    <t xml:space="preserve">  Senior Secured Term Loan B (TLB)</t>
  </si>
  <si>
    <t xml:space="preserve">  Total Debt</t>
  </si>
  <si>
    <t xml:space="preserve">  Rolled Management Equity</t>
  </si>
  <si>
    <t xml:space="preserve">~2% of EV; mgmt rollover</t>
  </si>
  <si>
    <t xml:space="preserve">  Sponsor Equity</t>
  </si>
  <si>
    <t xml:space="preserve">Residual equity check</t>
  </si>
  <si>
    <t xml:space="preserve">Total Sources</t>
  </si>
  <si>
    <t xml:space="preserve">  Check: Sources = Uses?</t>
  </si>
  <si>
    <t xml:space="preserve">Key Leverage Statistics at Entry</t>
  </si>
  <si>
    <t xml:space="preserve">  Total Debt / Entry EBITDA</t>
  </si>
  <si>
    <t xml:space="preserve">  Senior Secured Debt / EBITDA</t>
  </si>
  <si>
    <t xml:space="preserve">  Net Debt / EBITDA</t>
  </si>
  <si>
    <t xml:space="preserve">  Total Debt / Entry EV</t>
  </si>
  <si>
    <t xml:space="preserve">  Sponsor Equity / Entry EV</t>
  </si>
  <si>
    <t xml:space="preserve">HCA HEALTHCARE — Post-LBO Operating Model ($M)</t>
  </si>
  <si>
    <t xml:space="preserve">Figures in $M unless noted</t>
  </si>
  <si>
    <t xml:space="preserve">FY2025
(Entry)</t>
  </si>
  <si>
    <t xml:space="preserve">FY2026E</t>
  </si>
  <si>
    <t xml:space="preserve">FY2027E</t>
  </si>
  <si>
    <t xml:space="preserve">FY2028E</t>
  </si>
  <si>
    <t xml:space="preserve">FY2029E</t>
  </si>
  <si>
    <t xml:space="preserve">FY2030E
(Exit)</t>
  </si>
  <si>
    <t xml:space="preserve">INCOME STATEMENT</t>
  </si>
  <si>
    <t xml:space="preserve">Revenue</t>
  </si>
  <si>
    <t xml:space="preserve">Source: HCA FY2025E consensus; FY2026+ per Assumptions D</t>
  </si>
  <si>
    <t xml:space="preserve">EBITDA</t>
  </si>
  <si>
    <t xml:space="preserve">  EBITDA Margin %</t>
  </si>
  <si>
    <t xml:space="preserve">  (-) Depreciation &amp; Amortization</t>
  </si>
  <si>
    <t xml:space="preserve">Source: HCA FY2025E; projected at 4.0% of revenue</t>
  </si>
  <si>
    <t xml:space="preserve">EBIT (Operating Income)</t>
  </si>
  <si>
    <t xml:space="preserve">  EBIT Margin %</t>
  </si>
  <si>
    <t xml:space="preserve">DEBT SCHEDULE — Interest Expense &amp; Amortization</t>
  </si>
  <si>
    <t xml:space="preserve">Balance / Amount ($M)</t>
  </si>
  <si>
    <t xml:space="preserve">  TLB Balance (Beginning)</t>
  </si>
  <si>
    <t xml:space="preserve">  TLB Mandatory Amortization (1%)</t>
  </si>
  <si>
    <t xml:space="preserve">  TLB Cash Sweep (50% Excess FCF)</t>
  </si>
  <si>
    <t xml:space="preserve">  TLB Balance (Ending)</t>
  </si>
  <si>
    <t xml:space="preserve">  Senior Secured Notes Balance</t>
  </si>
  <si>
    <t xml:space="preserve">  Senior Unsecured Notes Balance</t>
  </si>
  <si>
    <t xml:space="preserve">Total Debt (Ending)</t>
  </si>
  <si>
    <t xml:space="preserve">Interest Expense by Tranche</t>
  </si>
  <si>
    <t xml:space="preserve">  TLB Interest</t>
  </si>
  <si>
    <t xml:space="preserve">Avg balance × rate</t>
  </si>
  <si>
    <t xml:space="preserve">  Secured Notes Interest</t>
  </si>
  <si>
    <t xml:space="preserve">Fixed rate × original balance</t>
  </si>
  <si>
    <t xml:space="preserve">  Unsecured Notes Interest</t>
  </si>
  <si>
    <t xml:space="preserve">Total Interest Expense</t>
  </si>
  <si>
    <t xml:space="preserve">FREE CASH FLOW (Used for Debt Repayment)</t>
  </si>
  <si>
    <t xml:space="preserve">  EBITDA</t>
  </si>
  <si>
    <t xml:space="preserve">  (-) Cash Interest Expense</t>
  </si>
  <si>
    <t xml:space="preserve">  (-) Mandatory TLB Amortization</t>
  </si>
  <si>
    <t xml:space="preserve">  (-) Capital Expenditures</t>
  </si>
  <si>
    <t xml:space="preserve">  (-) Cash Taxes  [= (EBIT − Interest) × Tax Rate]</t>
  </si>
  <si>
    <t xml:space="preserve">  (-) Change in Net Working Capital</t>
  </si>
  <si>
    <t xml:space="preserve">Levered Free Cash Flow (Available for Debt Sweep)</t>
  </si>
  <si>
    <t xml:space="preserve">  LFCF Margin %</t>
  </si>
  <si>
    <t xml:space="preserve">RETURNS ANALYSIS — HCA Healthcare LBO  ($M)</t>
  </si>
  <si>
    <t xml:space="preserve">Exit Valuation (5-Year Hold — FY2030)</t>
  </si>
  <si>
    <t xml:space="preserve">  Exit Year EBITDA ($M)</t>
  </si>
  <si>
    <t xml:space="preserve">Exit Enterprise Value ($M)</t>
  </si>
  <si>
    <t xml:space="preserve">  (-) Exit Transaction Fees</t>
  </si>
  <si>
    <t xml:space="preserve">  (-) Net Debt at Exit ($M)</t>
  </si>
  <si>
    <t xml:space="preserve">Exit Equity Value ($M)</t>
  </si>
  <si>
    <t xml:space="preserve">Sponsor Returns</t>
  </si>
  <si>
    <t xml:space="preserve">  Total Equity Invested at Entry ($M)</t>
  </si>
  <si>
    <t xml:space="preserve">  Sponsor % of Exit Equity</t>
  </si>
  <si>
    <t xml:space="preserve">  Sponsor Proceeds at Exit ($M)</t>
  </si>
  <si>
    <t xml:space="preserve">  ➤  IRR  [=(MOIC^(1/n)) − 1]</t>
  </si>
  <si>
    <t xml:space="preserve">  ➤  MOIC (Money-on-Invested-Capital)</t>
  </si>
  <si>
    <t xml:space="preserve">Sensitivity — MOIC  |  Entry Multiple (rows) × Exit Multiple (cols)</t>
  </si>
  <si>
    <t xml:space="preserve">Entry EV/EBITDA → 
 Exit EV/EBITDA ↓</t>
  </si>
  <si>
    <t xml:space="preserve">Sensitivity — IRR  |  Entry Multiple (rows) × Exit Multiple (cols)</t>
  </si>
  <si>
    <t xml:space="preserve">Yellow = Base Case (Entry 11.5x, Exit 12.0x, 5-year hold)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</si>
</sst>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\x"/>
    <numFmt numFmtId="167" formatCode="0.00%;\(0.00%\);\-"/>
    <numFmt numFmtId="168" formatCode="0.00\x"/>
    <numFmt numFmtId="169" formatCode="0.0%;\(0.0%\);\-"/>
    <numFmt numFmtId="170" formatCode="#,##0;\(#,##0\);\-"/>
    <numFmt numFmtId="171" formatCode="\$#,##0.00;&quot;($&quot;#,##0.00\);\-"/>
    <numFmt numFmtId="172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20"/>
    <col collapsed="false" customWidth="true" hidden="false" outlineLevel="0" max="6" min="6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1"/>
      <c r="B2" s="1"/>
      <c r="C2" s="1"/>
      <c r="D2" s="1"/>
      <c r="E2" s="1"/>
      <c r="F2" s="1"/>
    </row>
    <row r="3" customFormat="false" ht="24" hidden="false" customHeight="true" outlineLevel="0" collapsed="false">
      <c r="A3" s="1"/>
      <c r="B3" s="1"/>
      <c r="C3" s="1"/>
      <c r="D3" s="1"/>
      <c r="E3" s="1"/>
      <c r="F3" s="1"/>
    </row>
    <row r="4" customFormat="false" ht="24" hidden="false" customHeight="true" outlineLevel="0" collapsed="false">
      <c r="A4" s="1"/>
      <c r="B4" s="1"/>
      <c r="C4" s="1"/>
      <c r="D4" s="1"/>
      <c r="E4" s="1"/>
      <c r="F4" s="1"/>
    </row>
    <row r="5" customFormat="false" ht="24" hidden="false" customHeight="true" outlineLevel="0" collapsed="false">
      <c r="A5" s="1"/>
      <c r="B5" s="1"/>
      <c r="C5" s="1"/>
      <c r="D5" s="1"/>
      <c r="E5" s="1"/>
      <c r="F5" s="1"/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</v>
      </c>
      <c r="B7" s="2"/>
      <c r="C7" s="2"/>
      <c r="D7" s="2"/>
      <c r="E7" s="2"/>
      <c r="F7" s="2"/>
    </row>
    <row r="8" customFormat="false" ht="18" hidden="false" customHeight="true" outlineLevel="0" collapsed="false"/>
    <row r="9" customFormat="false" ht="9.75" hidden="false" customHeight="true" outlineLevel="0" collapsed="false"/>
    <row r="10" customFormat="false" ht="19.5" hidden="false" customHeight="true" outlineLevel="0" collapsed="false">
      <c r="B10" s="3" t="s">
        <v>2</v>
      </c>
      <c r="C10" s="3"/>
      <c r="D10" s="3"/>
      <c r="E10" s="3"/>
    </row>
    <row r="11" customFormat="false" ht="18" hidden="false" customHeight="true" outlineLevel="0" collapsed="false">
      <c r="B11" s="4" t="s">
        <v>3</v>
      </c>
      <c r="C11" s="5"/>
      <c r="D11" s="6" t="n">
        <f aca="false">Assumptions!B8</f>
        <v>164220</v>
      </c>
      <c r="E11" s="5"/>
    </row>
    <row r="12" customFormat="false" ht="18" hidden="false" customHeight="true" outlineLevel="0" collapsed="false">
      <c r="B12" s="4" t="s">
        <v>4</v>
      </c>
      <c r="C12" s="5"/>
      <c r="D12" s="7" t="n">
        <f aca="false">Assumptions!B9</f>
        <v>11.5</v>
      </c>
      <c r="E12" s="5"/>
    </row>
    <row r="13" customFormat="false" ht="18" hidden="false" customHeight="true" outlineLevel="0" collapsed="false">
      <c r="B13" s="4" t="s">
        <v>5</v>
      </c>
      <c r="C13" s="5"/>
      <c r="D13" s="6" t="n">
        <f aca="false">'Sources &amp; Uses'!B18</f>
        <v>75541.2</v>
      </c>
      <c r="E13" s="5"/>
    </row>
    <row r="14" customFormat="false" ht="18" hidden="false" customHeight="true" outlineLevel="0" collapsed="false">
      <c r="B14" s="4" t="s">
        <v>6</v>
      </c>
      <c r="C14" s="5"/>
      <c r="D14" s="6" t="n">
        <f aca="false">Returns!B6</f>
        <v>237641.036322302</v>
      </c>
      <c r="E14" s="5"/>
    </row>
    <row r="15" customFormat="false" ht="18" hidden="false" customHeight="true" outlineLevel="0" collapsed="false">
      <c r="B15" s="4" t="s">
        <v>7</v>
      </c>
      <c r="C15" s="5"/>
      <c r="D15" s="8" t="n">
        <f aca="false">Returns!B15</f>
        <v>0.206163364628124</v>
      </c>
      <c r="E15" s="5"/>
    </row>
    <row r="16" customFormat="false" ht="18" hidden="false" customHeight="true" outlineLevel="0" collapsed="false">
      <c r="B16" s="4" t="s">
        <v>8</v>
      </c>
      <c r="C16" s="5"/>
      <c r="D16" s="9" t="n">
        <f aca="false">Returns!B16</f>
        <v>2.55288156103433</v>
      </c>
      <c r="E16" s="5"/>
    </row>
    <row r="17" customFormat="false" ht="18" hidden="false" customHeight="true" outlineLevel="0" collapsed="false">
      <c r="B17" s="4" t="s">
        <v>9</v>
      </c>
      <c r="C17" s="5"/>
      <c r="D17" s="7" t="n">
        <f aca="false">Assumptions!B22</f>
        <v>0.085</v>
      </c>
      <c r="E17" s="5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27.75" hidden="false" customHeight="true" outlineLevel="0" collapsed="false">
      <c r="B32" s="10" t="s">
        <v>10</v>
      </c>
      <c r="C32" s="10"/>
      <c r="D32" s="10"/>
      <c r="E32" s="10"/>
    </row>
    <row r="33" customFormat="false" ht="18" hidden="false" customHeight="true" outlineLevel="0" collapsed="false"/>
    <row r="34" customFormat="false" ht="13.5" hidden="false" customHeight="true" outlineLevel="0" collapsed="false">
      <c r="B34" s="11" t="s">
        <v>11</v>
      </c>
      <c r="C34" s="12" t="s">
        <v>12</v>
      </c>
      <c r="D34" s="5"/>
      <c r="E34" s="5"/>
    </row>
    <row r="35" customFormat="false" ht="13.5" hidden="false" customHeight="true" outlineLevel="0" collapsed="false">
      <c r="B35" s="4" t="s">
        <v>13</v>
      </c>
      <c r="C35" s="12" t="s">
        <v>14</v>
      </c>
      <c r="D35" s="5"/>
      <c r="E35" s="5"/>
    </row>
    <row r="36" customFormat="false" ht="13.5" hidden="false" customHeight="true" outlineLevel="0" collapsed="false">
      <c r="B36" s="13" t="s">
        <v>15</v>
      </c>
      <c r="C36" s="12" t="s">
        <v>16</v>
      </c>
      <c r="D36" s="5"/>
      <c r="E36" s="5"/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4">
    <mergeCell ref="A1:F5"/>
    <mergeCell ref="A7:F7"/>
    <mergeCell ref="B10:E1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8"/>
  </cols>
  <sheetData>
    <row r="1" customFormat="false" ht="25.5" hidden="false" customHeight="true" outlineLevel="0" collapsed="false">
      <c r="A1" s="14" t="s">
        <v>17</v>
      </c>
      <c r="B1" s="14"/>
      <c r="C1" s="14"/>
    </row>
    <row r="2" customFormat="false" ht="7.5" hidden="false" customHeight="true" outlineLevel="0" collapsed="false">
      <c r="A2" s="15"/>
      <c r="B2" s="15"/>
      <c r="C2" s="15"/>
    </row>
    <row r="3" customFormat="false" ht="7.5" hidden="false" customHeight="true" outlineLevel="0" collapsed="false">
      <c r="A3" s="16" t="s">
        <v>18</v>
      </c>
      <c r="B3" s="16"/>
      <c r="C3" s="16"/>
    </row>
    <row r="4" customFormat="false" ht="18" hidden="false" customHeight="true" outlineLevel="0" collapsed="false">
      <c r="A4" s="17" t="s">
        <v>19</v>
      </c>
      <c r="B4" s="18" t="s">
        <v>20</v>
      </c>
      <c r="C4" s="19" t="s">
        <v>21</v>
      </c>
    </row>
    <row r="5" customFormat="false" ht="18" hidden="false" customHeight="true" outlineLevel="0" collapsed="false">
      <c r="A5" s="17" t="s">
        <v>22</v>
      </c>
      <c r="B5" s="20" t="n">
        <v>66252</v>
      </c>
      <c r="C5" s="19" t="s">
        <v>23</v>
      </c>
    </row>
    <row r="6" customFormat="false" ht="18" hidden="false" customHeight="true" outlineLevel="0" collapsed="false">
      <c r="A6" s="17" t="s">
        <v>24</v>
      </c>
      <c r="B6" s="20" t="n">
        <v>14280</v>
      </c>
      <c r="C6" s="19" t="s">
        <v>25</v>
      </c>
    </row>
    <row r="7" customFormat="false" ht="18" hidden="false" customHeight="true" outlineLevel="0" collapsed="false">
      <c r="A7" s="17" t="s">
        <v>26</v>
      </c>
      <c r="B7" s="21" t="n">
        <f aca="false">B6/B5</f>
        <v>0.215540662923383</v>
      </c>
      <c r="C7" s="19" t="s">
        <v>27</v>
      </c>
    </row>
    <row r="8" customFormat="false" ht="18" hidden="false" customHeight="true" outlineLevel="0" collapsed="false">
      <c r="A8" s="17" t="s">
        <v>28</v>
      </c>
      <c r="B8" s="22" t="n">
        <f aca="false">B6*B9</f>
        <v>164220</v>
      </c>
      <c r="C8" s="19" t="s">
        <v>29</v>
      </c>
    </row>
    <row r="9" customFormat="false" ht="18" hidden="false" customHeight="true" outlineLevel="0" collapsed="false">
      <c r="A9" s="23" t="s">
        <v>30</v>
      </c>
      <c r="B9" s="24" t="n">
        <v>11.5</v>
      </c>
      <c r="C9" s="19" t="s">
        <v>31</v>
      </c>
    </row>
    <row r="10" customFormat="false" ht="18" hidden="false" customHeight="true" outlineLevel="0" collapsed="false">
      <c r="A10" s="17" t="s">
        <v>32</v>
      </c>
      <c r="B10" s="20" t="n">
        <v>36500</v>
      </c>
      <c r="C10" s="19" t="s">
        <v>33</v>
      </c>
    </row>
    <row r="11" customFormat="false" ht="18" hidden="false" customHeight="true" outlineLevel="0" collapsed="false">
      <c r="A11" s="17" t="s">
        <v>34</v>
      </c>
      <c r="B11" s="25" t="n">
        <f aca="false">B8-B10</f>
        <v>127720</v>
      </c>
      <c r="C11" s="19" t="s">
        <v>35</v>
      </c>
    </row>
    <row r="12" customFormat="false" ht="18" hidden="false" customHeight="true" outlineLevel="0" collapsed="false">
      <c r="A12" s="17" t="s">
        <v>36</v>
      </c>
      <c r="B12" s="26" t="n">
        <v>262</v>
      </c>
      <c r="C12" s="19" t="s">
        <v>37</v>
      </c>
    </row>
    <row r="13" customFormat="false" ht="18" hidden="false" customHeight="true" outlineLevel="0" collapsed="false">
      <c r="A13" s="17" t="s">
        <v>38</v>
      </c>
      <c r="B13" s="27" t="n">
        <f aca="false">B11/B12*1000</f>
        <v>487480.916030534</v>
      </c>
      <c r="C13" s="19" t="s">
        <v>39</v>
      </c>
    </row>
    <row r="15" customFormat="false" ht="7.5" hidden="false" customHeight="true" outlineLevel="0" collapsed="false">
      <c r="A15" s="16" t="s">
        <v>40</v>
      </c>
      <c r="B15" s="16"/>
      <c r="C15" s="16"/>
    </row>
    <row r="16" customFormat="false" ht="18" hidden="false" customHeight="true" outlineLevel="0" collapsed="false">
      <c r="A16" s="17" t="s">
        <v>41</v>
      </c>
      <c r="B16" s="28" t="n">
        <v>0.35</v>
      </c>
      <c r="C16" s="19" t="s">
        <v>42</v>
      </c>
    </row>
    <row r="17" customFormat="false" ht="18" hidden="false" customHeight="true" outlineLevel="0" collapsed="false">
      <c r="A17" s="17" t="s">
        <v>43</v>
      </c>
      <c r="B17" s="28" t="n">
        <v>0.1</v>
      </c>
      <c r="C17" s="19" t="s">
        <v>44</v>
      </c>
    </row>
    <row r="18" customFormat="false" ht="18" hidden="false" customHeight="true" outlineLevel="0" collapsed="false">
      <c r="A18" s="17" t="s">
        <v>45</v>
      </c>
      <c r="B18" s="28" t="n">
        <v>0.1</v>
      </c>
      <c r="C18" s="19" t="s">
        <v>46</v>
      </c>
    </row>
    <row r="19" customFormat="false" ht="18" hidden="false" customHeight="true" outlineLevel="0" collapsed="false">
      <c r="A19" s="17" t="s">
        <v>47</v>
      </c>
      <c r="B19" s="29" t="n">
        <f aca="false">B16+B17+B18</f>
        <v>0.55</v>
      </c>
      <c r="C19" s="19" t="s">
        <v>48</v>
      </c>
    </row>
    <row r="20" customFormat="false" ht="18" hidden="false" customHeight="true" outlineLevel="0" collapsed="false">
      <c r="A20" s="17" t="s">
        <v>49</v>
      </c>
      <c r="B20" s="21" t="n">
        <f aca="false">1-B19</f>
        <v>0.45</v>
      </c>
      <c r="C20" s="19" t="s">
        <v>50</v>
      </c>
    </row>
    <row r="21" customFormat="false" ht="18" hidden="false" customHeight="true" outlineLevel="0" collapsed="false">
      <c r="A21" s="17" t="s">
        <v>51</v>
      </c>
      <c r="B21" s="30" t="n">
        <v>0.08</v>
      </c>
      <c r="C21" s="19" t="s">
        <v>52</v>
      </c>
    </row>
    <row r="22" customFormat="false" ht="18" hidden="false" customHeight="true" outlineLevel="0" collapsed="false">
      <c r="A22" s="17" t="s">
        <v>53</v>
      </c>
      <c r="B22" s="30" t="n">
        <v>0.085</v>
      </c>
      <c r="C22" s="19" t="s">
        <v>54</v>
      </c>
    </row>
    <row r="23" customFormat="false" ht="18" hidden="false" customHeight="true" outlineLevel="0" collapsed="false">
      <c r="A23" s="17" t="s">
        <v>55</v>
      </c>
      <c r="B23" s="30" t="n">
        <v>0.095</v>
      </c>
      <c r="C23" s="19" t="s">
        <v>56</v>
      </c>
    </row>
    <row r="24" customFormat="false" ht="18" hidden="false" customHeight="true" outlineLevel="0" collapsed="false">
      <c r="A24" s="17" t="s">
        <v>57</v>
      </c>
      <c r="B24" s="28" t="n">
        <v>0.01</v>
      </c>
      <c r="C24" s="19" t="s">
        <v>58</v>
      </c>
    </row>
    <row r="25" customFormat="false" ht="18" hidden="false" customHeight="true" outlineLevel="0" collapsed="false">
      <c r="A25" s="17" t="s">
        <v>59</v>
      </c>
      <c r="B25" s="28" t="n">
        <v>0.5</v>
      </c>
      <c r="C25" s="19" t="s">
        <v>60</v>
      </c>
    </row>
    <row r="27" customFormat="false" ht="7.5" hidden="false" customHeight="true" outlineLevel="0" collapsed="false">
      <c r="A27" s="16" t="s">
        <v>61</v>
      </c>
      <c r="B27" s="16"/>
      <c r="C27" s="16"/>
    </row>
    <row r="28" customFormat="false" ht="18" hidden="false" customHeight="true" outlineLevel="0" collapsed="false">
      <c r="A28" s="17" t="s">
        <v>62</v>
      </c>
      <c r="B28" s="31" t="n">
        <v>5</v>
      </c>
      <c r="C28" s="19" t="s">
        <v>63</v>
      </c>
    </row>
    <row r="29" customFormat="false" ht="18" hidden="false" customHeight="true" outlineLevel="0" collapsed="false">
      <c r="A29" s="23" t="s">
        <v>64</v>
      </c>
      <c r="B29" s="24" t="n">
        <v>12</v>
      </c>
      <c r="C29" s="19" t="s">
        <v>65</v>
      </c>
    </row>
    <row r="30" customFormat="false" ht="18" hidden="false" customHeight="true" outlineLevel="0" collapsed="false">
      <c r="A30" s="17" t="s">
        <v>66</v>
      </c>
      <c r="B30" s="28" t="n">
        <v>0.02</v>
      </c>
      <c r="C30" s="19" t="s">
        <v>67</v>
      </c>
    </row>
    <row r="31" customFormat="false" ht="18" hidden="false" customHeight="true" outlineLevel="0" collapsed="false">
      <c r="A31" s="17" t="s">
        <v>68</v>
      </c>
      <c r="B31" s="28" t="n">
        <v>0.015</v>
      </c>
      <c r="C31" s="19" t="s">
        <v>69</v>
      </c>
    </row>
    <row r="33" customFormat="false" ht="7.5" hidden="false" customHeight="true" outlineLevel="0" collapsed="false">
      <c r="A33" s="16" t="s">
        <v>70</v>
      </c>
      <c r="B33" s="16"/>
      <c r="C33" s="16"/>
    </row>
    <row r="34" customFormat="false" ht="18" hidden="false" customHeight="true" outlineLevel="0" collapsed="false">
      <c r="A34" s="17" t="s">
        <v>71</v>
      </c>
      <c r="B34" s="28" t="n">
        <v>0.06</v>
      </c>
      <c r="C34" s="19" t="s">
        <v>72</v>
      </c>
    </row>
    <row r="35" customFormat="false" ht="18" hidden="false" customHeight="true" outlineLevel="0" collapsed="false">
      <c r="A35" s="17" t="s">
        <v>73</v>
      </c>
      <c r="B35" s="28" t="n">
        <v>0.055</v>
      </c>
      <c r="C35" s="19" t="s">
        <v>74</v>
      </c>
    </row>
    <row r="36" customFormat="false" ht="18" hidden="false" customHeight="true" outlineLevel="0" collapsed="false">
      <c r="A36" s="17" t="s">
        <v>75</v>
      </c>
      <c r="B36" s="28" t="n">
        <v>0.05</v>
      </c>
    </row>
    <row r="37" customFormat="false" ht="18" hidden="false" customHeight="true" outlineLevel="0" collapsed="false">
      <c r="A37" s="17" t="s">
        <v>76</v>
      </c>
      <c r="B37" s="28" t="n">
        <v>0.05</v>
      </c>
    </row>
    <row r="38" customFormat="false" ht="18" hidden="false" customHeight="true" outlineLevel="0" collapsed="false">
      <c r="A38" s="17" t="s">
        <v>77</v>
      </c>
      <c r="B38" s="28" t="n">
        <v>0.045</v>
      </c>
      <c r="C38" s="19" t="s">
        <v>78</v>
      </c>
    </row>
    <row r="39" customFormat="false" ht="18" hidden="false" customHeight="true" outlineLevel="0" collapsed="false">
      <c r="A39" s="17" t="s">
        <v>79</v>
      </c>
      <c r="B39" s="28" t="n">
        <v>0.22</v>
      </c>
      <c r="C39" s="19" t="s">
        <v>80</v>
      </c>
    </row>
    <row r="40" customFormat="false" ht="18" hidden="false" customHeight="true" outlineLevel="0" collapsed="false">
      <c r="A40" s="17" t="s">
        <v>81</v>
      </c>
      <c r="B40" s="28" t="n">
        <v>0.225</v>
      </c>
      <c r="C40" s="19" t="s">
        <v>82</v>
      </c>
    </row>
    <row r="41" customFormat="false" ht="18" hidden="false" customHeight="true" outlineLevel="0" collapsed="false">
      <c r="A41" s="17" t="s">
        <v>83</v>
      </c>
      <c r="B41" s="28" t="n">
        <v>0.228</v>
      </c>
    </row>
    <row r="42" customFormat="false" ht="18" hidden="false" customHeight="true" outlineLevel="0" collapsed="false">
      <c r="A42" s="17" t="s">
        <v>84</v>
      </c>
      <c r="B42" s="28" t="n">
        <v>0.23</v>
      </c>
    </row>
    <row r="43" customFormat="false" ht="18" hidden="false" customHeight="true" outlineLevel="0" collapsed="false">
      <c r="A43" s="17" t="s">
        <v>85</v>
      </c>
      <c r="B43" s="28" t="n">
        <v>0.232</v>
      </c>
      <c r="C43" s="19" t="s">
        <v>78</v>
      </c>
    </row>
    <row r="44" customFormat="false" ht="18" hidden="false" customHeight="true" outlineLevel="0" collapsed="false">
      <c r="A44" s="17" t="s">
        <v>86</v>
      </c>
      <c r="B44" s="28" t="n">
        <v>0.04</v>
      </c>
      <c r="C44" s="19" t="s">
        <v>87</v>
      </c>
    </row>
    <row r="45" customFormat="false" ht="18" hidden="false" customHeight="true" outlineLevel="0" collapsed="false">
      <c r="A45" s="17" t="s">
        <v>88</v>
      </c>
      <c r="B45" s="28" t="n">
        <v>0.065</v>
      </c>
      <c r="C45" s="19" t="s">
        <v>89</v>
      </c>
    </row>
    <row r="46" customFormat="false" ht="18" hidden="false" customHeight="true" outlineLevel="0" collapsed="false">
      <c r="A46" s="17" t="s">
        <v>90</v>
      </c>
      <c r="B46" s="28" t="n">
        <v>0.01</v>
      </c>
    </row>
    <row r="47" customFormat="false" ht="18" hidden="false" customHeight="true" outlineLevel="0" collapsed="false">
      <c r="A47" s="17" t="s">
        <v>91</v>
      </c>
      <c r="B47" s="28" t="n">
        <v>0.26</v>
      </c>
      <c r="C47" s="19" t="s">
        <v>92</v>
      </c>
    </row>
  </sheetData>
  <mergeCells count="5">
    <mergeCell ref="A1:C1"/>
    <mergeCell ref="A3:C3"/>
    <mergeCell ref="A15:C15"/>
    <mergeCell ref="A27:C27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32" t="s">
        <v>93</v>
      </c>
      <c r="B1" s="32"/>
      <c r="C1" s="32"/>
      <c r="D1" s="32"/>
    </row>
    <row r="2" customFormat="false" ht="7.5" hidden="false" customHeight="true" outlineLevel="0" collapsed="false">
      <c r="A2" s="15"/>
      <c r="B2" s="15"/>
      <c r="C2" s="15"/>
      <c r="D2" s="15"/>
    </row>
    <row r="3" customFormat="false" ht="7.5" hidden="false" customHeight="true" outlineLevel="0" collapsed="false">
      <c r="A3" s="16" t="s">
        <v>94</v>
      </c>
      <c r="B3" s="16"/>
      <c r="C3" s="16"/>
      <c r="D3" s="16"/>
    </row>
    <row r="4" customFormat="false" ht="19.5" hidden="false" customHeight="true" outlineLevel="0" collapsed="false">
      <c r="B4" s="33" t="s">
        <v>95</v>
      </c>
      <c r="C4" s="33" t="s">
        <v>96</v>
      </c>
      <c r="D4" s="33" t="s">
        <v>97</v>
      </c>
    </row>
    <row r="5" customFormat="false" ht="18" hidden="false" customHeight="true" outlineLevel="0" collapsed="false">
      <c r="A5" s="17" t="s">
        <v>98</v>
      </c>
      <c r="B5" s="34" t="n">
        <f aca="false">Assumptions!B11</f>
        <v>127720</v>
      </c>
      <c r="C5" s="35" t="n">
        <f aca="false">IF(B9=0,0,B5/B9)</f>
        <v>0.755084642552673</v>
      </c>
    </row>
    <row r="6" customFormat="false" ht="18" hidden="false" customHeight="true" outlineLevel="0" collapsed="false">
      <c r="A6" s="17" t="s">
        <v>99</v>
      </c>
      <c r="B6" s="34" t="n">
        <f aca="false">Assumptions!B10</f>
        <v>36500</v>
      </c>
      <c r="C6" s="35" t="n">
        <f aca="false">IF(B9=0,0,B6/B9)</f>
        <v>0.215789143855094</v>
      </c>
      <c r="D6" s="36" t="s">
        <v>100</v>
      </c>
    </row>
    <row r="7" customFormat="false" ht="18" hidden="false" customHeight="true" outlineLevel="0" collapsed="false">
      <c r="A7" s="17" t="s">
        <v>101</v>
      </c>
      <c r="B7" s="34" t="n">
        <f aca="false">Assumptions!B8*Assumptions!B30</f>
        <v>3284.4</v>
      </c>
      <c r="C7" s="35" t="n">
        <f aca="false">IF(B9=0,0,B7/B9)</f>
        <v>0.0194174757281553</v>
      </c>
      <c r="D7" s="36" t="s">
        <v>102</v>
      </c>
    </row>
    <row r="8" customFormat="false" ht="18" hidden="false" customHeight="true" outlineLevel="0" collapsed="false">
      <c r="A8" s="17" t="s">
        <v>103</v>
      </c>
      <c r="B8" s="34" t="n">
        <f aca="false">Assumptions!B8*0.01</f>
        <v>1642.2</v>
      </c>
      <c r="C8" s="35" t="n">
        <f aca="false">IF(B9=0,0,B8/B9)</f>
        <v>0.00970873786407767</v>
      </c>
      <c r="D8" s="36" t="s">
        <v>104</v>
      </c>
    </row>
    <row r="9" customFormat="false" ht="19.5" hidden="false" customHeight="true" outlineLevel="0" collapsed="false">
      <c r="A9" s="37" t="s">
        <v>105</v>
      </c>
      <c r="B9" s="38" t="n">
        <f aca="false">SUM(B5:B8)</f>
        <v>169146.6</v>
      </c>
      <c r="C9" s="29" t="n">
        <f aca="false">B9/B9</f>
        <v>1</v>
      </c>
    </row>
    <row r="11" customFormat="false" ht="7.5" hidden="false" customHeight="true" outlineLevel="0" collapsed="false">
      <c r="A11" s="16" t="s">
        <v>106</v>
      </c>
      <c r="B11" s="16"/>
      <c r="C11" s="16"/>
      <c r="D11" s="16"/>
    </row>
    <row r="12" customFormat="false" ht="19.5" hidden="false" customHeight="true" outlineLevel="0" collapsed="false">
      <c r="B12" s="33" t="s">
        <v>95</v>
      </c>
      <c r="C12" s="33" t="s">
        <v>107</v>
      </c>
      <c r="D12" s="33" t="s">
        <v>97</v>
      </c>
    </row>
    <row r="13" customFormat="false" ht="18" hidden="false" customHeight="true" outlineLevel="0" collapsed="false">
      <c r="A13" s="17" t="s">
        <v>108</v>
      </c>
      <c r="B13" s="39" t="n">
        <f aca="false">Assumptions!B8*Assumptions!B16</f>
        <v>57477</v>
      </c>
      <c r="C13" s="35" t="n">
        <f aca="false">B13/B9</f>
        <v>0.339805825242718</v>
      </c>
    </row>
    <row r="14" customFormat="false" ht="18" hidden="false" customHeight="true" outlineLevel="0" collapsed="false">
      <c r="A14" s="17" t="s">
        <v>43</v>
      </c>
      <c r="B14" s="39" t="n">
        <f aca="false">Assumptions!B8*Assumptions!B17</f>
        <v>16422</v>
      </c>
      <c r="C14" s="35" t="n">
        <f aca="false">B14/B9</f>
        <v>0.0970873786407767</v>
      </c>
    </row>
    <row r="15" customFormat="false" ht="18" hidden="false" customHeight="true" outlineLevel="0" collapsed="false">
      <c r="A15" s="17" t="s">
        <v>45</v>
      </c>
      <c r="B15" s="39" t="n">
        <f aca="false">Assumptions!B8*Assumptions!B18</f>
        <v>16422</v>
      </c>
      <c r="C15" s="35" t="n">
        <f aca="false">B15/B9</f>
        <v>0.0970873786407767</v>
      </c>
    </row>
    <row r="16" customFormat="false" ht="18" hidden="false" customHeight="true" outlineLevel="0" collapsed="false">
      <c r="A16" s="40" t="s">
        <v>109</v>
      </c>
      <c r="B16" s="22" t="n">
        <f aca="false">SUM(B13:B15)</f>
        <v>90321</v>
      </c>
      <c r="C16" s="29" t="n">
        <f aca="false">B16/B9</f>
        <v>0.533980582524272</v>
      </c>
    </row>
    <row r="17" customFormat="false" ht="18" hidden="false" customHeight="true" outlineLevel="0" collapsed="false">
      <c r="A17" s="17" t="s">
        <v>110</v>
      </c>
      <c r="B17" s="39" t="n">
        <f aca="false">Assumptions!B8*0.02</f>
        <v>3284.4</v>
      </c>
      <c r="C17" s="35" t="n">
        <f aca="false">B17/B9</f>
        <v>0.0194174757281553</v>
      </c>
      <c r="D17" s="36" t="s">
        <v>111</v>
      </c>
    </row>
    <row r="18" customFormat="false" ht="18" hidden="false" customHeight="true" outlineLevel="0" collapsed="false">
      <c r="A18" s="40" t="s">
        <v>112</v>
      </c>
      <c r="B18" s="22" t="n">
        <f aca="false">B9-B16-B17</f>
        <v>75541.2</v>
      </c>
      <c r="C18" s="29" t="n">
        <f aca="false">B18/B9</f>
        <v>0.446601941747573</v>
      </c>
      <c r="D18" s="36" t="s">
        <v>113</v>
      </c>
    </row>
    <row r="19" customFormat="false" ht="19.5" hidden="false" customHeight="true" outlineLevel="0" collapsed="false">
      <c r="A19" s="37" t="s">
        <v>114</v>
      </c>
      <c r="B19" s="38" t="n">
        <f aca="false">SUM(B13:B15)+B17+B18</f>
        <v>169146.6</v>
      </c>
    </row>
    <row r="20" customFormat="false" ht="18" hidden="false" customHeight="true" outlineLevel="0" collapsed="false">
      <c r="A20" s="17" t="s">
        <v>115</v>
      </c>
      <c r="B20" s="41" t="str">
        <f aca="false">IF(ABS(B19-B9)&lt;1,"Balanced","ERROR")</f>
        <v>Balanced</v>
      </c>
    </row>
    <row r="22" customFormat="false" ht="7.5" hidden="false" customHeight="true" outlineLevel="0" collapsed="false">
      <c r="A22" s="16" t="s">
        <v>116</v>
      </c>
      <c r="B22" s="16"/>
      <c r="C22" s="16"/>
      <c r="D22" s="16"/>
    </row>
    <row r="23" customFormat="false" ht="18" hidden="false" customHeight="true" outlineLevel="0" collapsed="false">
      <c r="A23" s="17" t="s">
        <v>117</v>
      </c>
      <c r="B23" s="42" t="n">
        <f aca="false">B16/Assumptions!B6</f>
        <v>6.325</v>
      </c>
    </row>
    <row r="24" customFormat="false" ht="18" hidden="false" customHeight="true" outlineLevel="0" collapsed="false">
      <c r="A24" s="17" t="s">
        <v>118</v>
      </c>
      <c r="B24" s="42" t="n">
        <f aca="false">(B13+B14)/Assumptions!B6</f>
        <v>5.175</v>
      </c>
    </row>
    <row r="25" customFormat="false" ht="18" hidden="false" customHeight="true" outlineLevel="0" collapsed="false">
      <c r="A25" s="17" t="s">
        <v>119</v>
      </c>
      <c r="B25" s="42" t="n">
        <f aca="false">(B16-Assumptions!B8*0.02)/Assumptions!B6</f>
        <v>6.095</v>
      </c>
    </row>
    <row r="26" customFormat="false" ht="18" hidden="false" customHeight="true" outlineLevel="0" collapsed="false">
      <c r="A26" s="17" t="s">
        <v>120</v>
      </c>
      <c r="B26" s="35" t="n">
        <f aca="false">B16/Assumptions!B8</f>
        <v>0.55</v>
      </c>
    </row>
    <row r="27" customFormat="false" ht="18" hidden="false" customHeight="true" outlineLevel="0" collapsed="false">
      <c r="A27" s="17" t="s">
        <v>121</v>
      </c>
      <c r="B27" s="35" t="n">
        <f aca="false">(B17+B18)/Assumptions!B8</f>
        <v>0.48</v>
      </c>
    </row>
  </sheetData>
  <mergeCells count="4">
    <mergeCell ref="A1:D1"/>
    <mergeCell ref="A3:D3"/>
    <mergeCell ref="A11:D1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25.5" hidden="false" customHeight="true" outlineLevel="0" collapsed="false">
      <c r="A1" s="32" t="s">
        <v>122</v>
      </c>
      <c r="B1" s="32"/>
      <c r="C1" s="32"/>
      <c r="D1" s="32"/>
      <c r="E1" s="32"/>
      <c r="F1" s="32"/>
      <c r="G1" s="32"/>
      <c r="H1" s="32"/>
    </row>
    <row r="2" customFormat="false" ht="7.5" hidden="false" customHeight="true" outlineLevel="0" collapsed="false">
      <c r="A2" s="15"/>
      <c r="B2" s="15"/>
      <c r="C2" s="15"/>
      <c r="D2" s="15"/>
      <c r="E2" s="15"/>
      <c r="F2" s="15"/>
      <c r="G2" s="15"/>
      <c r="H2" s="15"/>
    </row>
    <row r="3" customFormat="false" ht="19.5" hidden="false" customHeight="true" outlineLevel="0" collapsed="false">
      <c r="A3" s="43" t="s">
        <v>123</v>
      </c>
      <c r="B3" s="44" t="s">
        <v>124</v>
      </c>
      <c r="C3" s="44" t="s">
        <v>125</v>
      </c>
      <c r="D3" s="44" t="s">
        <v>126</v>
      </c>
      <c r="E3" s="44" t="s">
        <v>127</v>
      </c>
      <c r="F3" s="44" t="s">
        <v>128</v>
      </c>
      <c r="G3" s="44" t="s">
        <v>129</v>
      </c>
      <c r="H3" s="45" t="s">
        <v>97</v>
      </c>
    </row>
    <row r="4" customFormat="false" ht="7.5" hidden="false" customHeight="true" outlineLevel="0" collapsed="false">
      <c r="A4" s="16" t="s">
        <v>130</v>
      </c>
      <c r="B4" s="16"/>
      <c r="C4" s="16"/>
      <c r="D4" s="16"/>
      <c r="E4" s="16"/>
      <c r="F4" s="16"/>
      <c r="G4" s="16"/>
    </row>
    <row r="5" customFormat="false" ht="19.5" hidden="false" customHeight="true" outlineLevel="0" collapsed="false">
      <c r="A5" s="37" t="s">
        <v>131</v>
      </c>
      <c r="B5" s="20" t="n">
        <v>66252</v>
      </c>
      <c r="C5" s="34" t="n">
        <f aca="false">B5*(1+Assumptions!$B$34)</f>
        <v>70227.12</v>
      </c>
      <c r="D5" s="34" t="n">
        <f aca="false">C5*(1+Assumptions!$B$35)</f>
        <v>74089.6116</v>
      </c>
      <c r="E5" s="34" t="n">
        <f aca="false">D5*(1+Assumptions!$B$36)</f>
        <v>77794.09218</v>
      </c>
      <c r="F5" s="34" t="n">
        <f aca="false">E5*(1+Assumptions!$B$37)</f>
        <v>81683.796789</v>
      </c>
      <c r="G5" s="34" t="n">
        <f aca="false">F5*(1+Assumptions!$B$38)</f>
        <v>85359.567644505</v>
      </c>
      <c r="H5" s="19" t="s">
        <v>132</v>
      </c>
    </row>
    <row r="6" customFormat="false" ht="19.5" hidden="false" customHeight="true" outlineLevel="0" collapsed="false">
      <c r="A6" s="37" t="s">
        <v>133</v>
      </c>
      <c r="B6" s="20" t="n">
        <v>14280</v>
      </c>
      <c r="C6" s="34" t="n">
        <f aca="false">C5*Assumptions!$B$39</f>
        <v>15449.9664</v>
      </c>
      <c r="D6" s="34" t="n">
        <f aca="false">D5*Assumptions!$B$40</f>
        <v>16670.16261</v>
      </c>
      <c r="E6" s="34" t="n">
        <f aca="false">E5*Assumptions!$B$41</f>
        <v>17737.05301704</v>
      </c>
      <c r="F6" s="34" t="n">
        <f aca="false">F5*Assumptions!$B$42</f>
        <v>18787.27326147</v>
      </c>
      <c r="G6" s="34" t="n">
        <f aca="false">G5*Assumptions!$B$43</f>
        <v>19803.4196935252</v>
      </c>
      <c r="H6" s="19" t="s">
        <v>132</v>
      </c>
    </row>
    <row r="7" customFormat="false" ht="15.75" hidden="false" customHeight="true" outlineLevel="0" collapsed="false">
      <c r="A7" s="46" t="s">
        <v>134</v>
      </c>
      <c r="B7" s="35" t="n">
        <f aca="false">B6/B5</f>
        <v>0.215540662923383</v>
      </c>
      <c r="C7" s="35" t="n">
        <f aca="false">C6/C5</f>
        <v>0.22</v>
      </c>
      <c r="D7" s="35" t="n">
        <f aca="false">D6/D5</f>
        <v>0.225</v>
      </c>
      <c r="E7" s="35" t="n">
        <f aca="false">E6/E5</f>
        <v>0.228</v>
      </c>
      <c r="F7" s="35" t="n">
        <f aca="false">F6/F5</f>
        <v>0.23</v>
      </c>
      <c r="G7" s="35" t="n">
        <f aca="false">G6/G5</f>
        <v>0.232</v>
      </c>
    </row>
    <row r="8" customFormat="false" ht="18" hidden="false" customHeight="true" outlineLevel="0" collapsed="false">
      <c r="A8" s="46" t="s">
        <v>135</v>
      </c>
      <c r="B8" s="20" t="n">
        <v>2650</v>
      </c>
      <c r="C8" s="34" t="n">
        <f aca="false">C5*Assumptions!$B$44</f>
        <v>2809.0848</v>
      </c>
      <c r="D8" s="34" t="n">
        <f aca="false">D5*Assumptions!$B$44</f>
        <v>2963.584464</v>
      </c>
      <c r="E8" s="34" t="n">
        <f aca="false">E5*Assumptions!$B$44</f>
        <v>3111.7636872</v>
      </c>
      <c r="F8" s="34" t="n">
        <f aca="false">F5*Assumptions!$B$44</f>
        <v>3267.35187156</v>
      </c>
      <c r="G8" s="34" t="n">
        <f aca="false">G5*Assumptions!$B$44</f>
        <v>3414.3827057802</v>
      </c>
      <c r="H8" s="19" t="s">
        <v>136</v>
      </c>
    </row>
    <row r="9" customFormat="false" ht="19.5" hidden="false" customHeight="true" outlineLevel="0" collapsed="false">
      <c r="A9" s="37" t="s">
        <v>137</v>
      </c>
      <c r="B9" s="38" t="n">
        <f aca="false">B6-B8</f>
        <v>11630</v>
      </c>
      <c r="C9" s="38" t="n">
        <f aca="false">C6-C8</f>
        <v>12640.8816</v>
      </c>
      <c r="D9" s="38" t="n">
        <f aca="false">D6-D8</f>
        <v>13706.578146</v>
      </c>
      <c r="E9" s="38" t="n">
        <f aca="false">E6-E8</f>
        <v>14625.28932984</v>
      </c>
      <c r="F9" s="38" t="n">
        <f aca="false">F6-F8</f>
        <v>15519.92138991</v>
      </c>
      <c r="G9" s="38" t="n">
        <f aca="false">G6-G8</f>
        <v>16389.036987745</v>
      </c>
    </row>
    <row r="10" customFormat="false" ht="15.75" hidden="false" customHeight="true" outlineLevel="0" collapsed="false">
      <c r="A10" s="46" t="s">
        <v>138</v>
      </c>
      <c r="B10" s="35" t="n">
        <f aca="false">B9/B5</f>
        <v>0.1755418704341</v>
      </c>
      <c r="C10" s="35" t="n">
        <f aca="false">C9/C5</f>
        <v>0.18</v>
      </c>
      <c r="D10" s="35" t="n">
        <f aca="false">D9/D5</f>
        <v>0.185</v>
      </c>
      <c r="E10" s="35" t="n">
        <f aca="false">E9/E5</f>
        <v>0.188</v>
      </c>
      <c r="F10" s="35" t="n">
        <f aca="false">F9/F5</f>
        <v>0.19</v>
      </c>
      <c r="G10" s="35" t="n">
        <f aca="false">G9/G5</f>
        <v>0.192</v>
      </c>
    </row>
    <row r="12" customFormat="false" ht="7.5" hidden="false" customHeight="true" outlineLevel="0" collapsed="false">
      <c r="A12" s="16" t="s">
        <v>139</v>
      </c>
      <c r="B12" s="16"/>
      <c r="C12" s="16"/>
      <c r="D12" s="16"/>
      <c r="E12" s="16"/>
      <c r="F12" s="16"/>
      <c r="G12" s="16"/>
    </row>
    <row r="13" customFormat="false" ht="19.5" hidden="false" customHeight="true" outlineLevel="0" collapsed="false">
      <c r="A13" s="45" t="s">
        <v>140</v>
      </c>
      <c r="B13" s="44" t="s">
        <v>124</v>
      </c>
      <c r="C13" s="44" t="s">
        <v>125</v>
      </c>
      <c r="D13" s="44" t="s">
        <v>126</v>
      </c>
      <c r="E13" s="44" t="s">
        <v>127</v>
      </c>
      <c r="F13" s="44" t="s">
        <v>128</v>
      </c>
      <c r="G13" s="44" t="s">
        <v>129</v>
      </c>
    </row>
    <row r="14" customFormat="false" ht="18" hidden="false" customHeight="true" outlineLevel="0" collapsed="false">
      <c r="A14" s="17" t="s">
        <v>141</v>
      </c>
      <c r="B14" s="34" t="n">
        <f aca="false">'Sources &amp; Uses'!B13</f>
        <v>57477</v>
      </c>
      <c r="C14" s="39" t="n">
        <f aca="false">B15</f>
        <v>574.77</v>
      </c>
      <c r="D14" s="39" t="n">
        <f aca="false">C15</f>
        <v>574.77</v>
      </c>
      <c r="E14" s="39" t="n">
        <f aca="false">D15</f>
        <v>574.77</v>
      </c>
      <c r="F14" s="39" t="n">
        <f aca="false">E15</f>
        <v>574.77</v>
      </c>
      <c r="G14" s="39" t="n">
        <f aca="false">F15</f>
        <v>574.77</v>
      </c>
    </row>
    <row r="15" customFormat="false" ht="18" hidden="false" customHeight="true" outlineLevel="0" collapsed="false">
      <c r="A15" s="17" t="s">
        <v>142</v>
      </c>
      <c r="B15" s="39" t="n">
        <f aca="false">'Sources &amp; Uses'!$B$13*Assumptions!$B$24</f>
        <v>574.77</v>
      </c>
      <c r="C15" s="39" t="n">
        <f aca="false">'Sources &amp; Uses'!$B$13*Assumptions!$B$24</f>
        <v>574.77</v>
      </c>
      <c r="D15" s="39" t="n">
        <f aca="false">'Sources &amp; Uses'!$B$13*Assumptions!$B$24</f>
        <v>574.77</v>
      </c>
      <c r="E15" s="39" t="n">
        <f aca="false">'Sources &amp; Uses'!$B$13*Assumptions!$B$24</f>
        <v>574.77</v>
      </c>
      <c r="F15" s="39" t="n">
        <f aca="false">'Sources &amp; Uses'!$B$13*Assumptions!$B$24</f>
        <v>574.77</v>
      </c>
      <c r="G15" s="39" t="n">
        <f aca="false">'Sources &amp; Uses'!$B$13*Assumptions!$B$24</f>
        <v>574.77</v>
      </c>
    </row>
    <row r="16" customFormat="false" ht="18" hidden="false" customHeight="true" outlineLevel="0" collapsed="false">
      <c r="A16" s="17" t="s">
        <v>143</v>
      </c>
      <c r="B16" s="34" t="n">
        <f aca="false">0</f>
        <v>0</v>
      </c>
      <c r="C16" s="39" t="n">
        <f aca="false">MAX(0,C36*Assumptions!$B$25)</f>
        <v>2381.3082</v>
      </c>
      <c r="D16" s="39" t="n">
        <f aca="false">MAX(0,D36*Assumptions!$B$25)</f>
        <v>2727.89791902</v>
      </c>
      <c r="E16" s="39" t="n">
        <f aca="false">MAX(0,E36*Assumptions!$B$25)</f>
        <v>3022.3051048908</v>
      </c>
      <c r="F16" s="39" t="n">
        <f aca="false">MAX(0,F36*Assumptions!$B$25)</f>
        <v>3303.7715393592</v>
      </c>
      <c r="G16" s="39" t="n">
        <f aca="false">MAX(0,G36*Assumptions!$B$25)</f>
        <v>3580.4668436318</v>
      </c>
    </row>
    <row r="17" customFormat="false" ht="18" hidden="false" customHeight="true" outlineLevel="0" collapsed="false">
      <c r="A17" s="37" t="s">
        <v>144</v>
      </c>
      <c r="B17" s="22" t="n">
        <f aca="false">MAX(0,B14-B15-B16)</f>
        <v>56902.23</v>
      </c>
      <c r="C17" s="22" t="n">
        <f aca="false">MAX(0,C14-C15-C16)</f>
        <v>0</v>
      </c>
      <c r="D17" s="22" t="n">
        <f aca="false">MAX(0,D14-D15-D16)</f>
        <v>0</v>
      </c>
      <c r="E17" s="22" t="n">
        <f aca="false">MAX(0,E14-E15-E16)</f>
        <v>0</v>
      </c>
      <c r="F17" s="22" t="n">
        <f aca="false">MAX(0,F14-F15-F16)</f>
        <v>0</v>
      </c>
      <c r="G17" s="22" t="n">
        <f aca="false">MAX(0,G14-G15-G16)</f>
        <v>0</v>
      </c>
    </row>
    <row r="19" customFormat="false" ht="18" hidden="false" customHeight="true" outlineLevel="0" collapsed="false">
      <c r="A19" s="17" t="s">
        <v>145</v>
      </c>
      <c r="B19" s="34" t="n">
        <f aca="false">'Sources &amp; Uses'!$B$14</f>
        <v>16422</v>
      </c>
      <c r="C19" s="34" t="n">
        <f aca="false">'Sources &amp; Uses'!$B$14</f>
        <v>16422</v>
      </c>
      <c r="D19" s="34" t="n">
        <f aca="false">'Sources &amp; Uses'!$B$14</f>
        <v>16422</v>
      </c>
      <c r="E19" s="34" t="n">
        <f aca="false">'Sources &amp; Uses'!$B$14</f>
        <v>16422</v>
      </c>
      <c r="F19" s="34" t="n">
        <f aca="false">'Sources &amp; Uses'!$B$14</f>
        <v>16422</v>
      </c>
      <c r="G19" s="34" t="n">
        <f aca="false">'Sources &amp; Uses'!$B$14</f>
        <v>16422</v>
      </c>
    </row>
    <row r="20" customFormat="false" ht="18" hidden="false" customHeight="true" outlineLevel="0" collapsed="false">
      <c r="A20" s="17" t="s">
        <v>146</v>
      </c>
      <c r="B20" s="34" t="n">
        <f aca="false">'Sources &amp; Uses'!$B$15</f>
        <v>16422</v>
      </c>
      <c r="C20" s="34" t="n">
        <f aca="false">'Sources &amp; Uses'!$B$15</f>
        <v>16422</v>
      </c>
      <c r="D20" s="34" t="n">
        <f aca="false">'Sources &amp; Uses'!$B$15</f>
        <v>16422</v>
      </c>
      <c r="E20" s="34" t="n">
        <f aca="false">'Sources &amp; Uses'!$B$15</f>
        <v>16422</v>
      </c>
      <c r="F20" s="34" t="n">
        <f aca="false">'Sources &amp; Uses'!$B$15</f>
        <v>16422</v>
      </c>
      <c r="G20" s="34" t="n">
        <f aca="false">'Sources &amp; Uses'!$B$15</f>
        <v>16422</v>
      </c>
    </row>
    <row r="21" customFormat="false" ht="19.5" hidden="false" customHeight="true" outlineLevel="0" collapsed="false">
      <c r="A21" s="37" t="s">
        <v>147</v>
      </c>
      <c r="B21" s="38" t="n">
        <f aca="false">B17+B19+B20</f>
        <v>89746.23</v>
      </c>
      <c r="C21" s="38" t="n">
        <f aca="false">C17+C19+C20</f>
        <v>32844</v>
      </c>
      <c r="D21" s="38" t="n">
        <f aca="false">D17+D19+D20</f>
        <v>32844</v>
      </c>
      <c r="E21" s="38" t="n">
        <f aca="false">E17+E19+E20</f>
        <v>32844</v>
      </c>
      <c r="F21" s="38" t="n">
        <f aca="false">F17+F19+F20</f>
        <v>32844</v>
      </c>
      <c r="G21" s="38" t="n">
        <f aca="false">G17+G19+G20</f>
        <v>32844</v>
      </c>
    </row>
    <row r="23" customFormat="false" ht="7.5" hidden="false" customHeight="true" outlineLevel="0" collapsed="false">
      <c r="A23" s="16" t="s">
        <v>148</v>
      </c>
      <c r="B23" s="16"/>
      <c r="C23" s="16"/>
      <c r="D23" s="16"/>
      <c r="E23" s="16"/>
      <c r="F23" s="16"/>
      <c r="G23" s="16"/>
    </row>
    <row r="24" customFormat="false" ht="18" hidden="false" customHeight="true" outlineLevel="0" collapsed="false">
      <c r="A24" s="46" t="s">
        <v>149</v>
      </c>
      <c r="B24" s="39" t="n">
        <f aca="false">B14*Assumptions!$B$21</f>
        <v>4598.16</v>
      </c>
      <c r="C24" s="39" t="n">
        <f aca="false">C14*Assumptions!$B$21</f>
        <v>45.9816</v>
      </c>
      <c r="D24" s="39" t="n">
        <f aca="false">D14*Assumptions!$B$21</f>
        <v>45.9816</v>
      </c>
      <c r="E24" s="39" t="n">
        <f aca="false">E14*Assumptions!$B$21</f>
        <v>45.9816</v>
      </c>
      <c r="F24" s="39" t="n">
        <f aca="false">F14*Assumptions!$B$21</f>
        <v>45.9816</v>
      </c>
      <c r="G24" s="39" t="n">
        <f aca="false">G14*Assumptions!$B$21</f>
        <v>45.9816</v>
      </c>
      <c r="H24" s="19" t="s">
        <v>150</v>
      </c>
    </row>
    <row r="25" customFormat="false" ht="18" hidden="false" customHeight="true" outlineLevel="0" collapsed="false">
      <c r="A25" s="46" t="s">
        <v>151</v>
      </c>
      <c r="B25" s="39" t="n">
        <f aca="false">'Sources &amp; Uses'!$B$14*Assumptions!$B$22</f>
        <v>1395.87</v>
      </c>
      <c r="C25" s="39" t="n">
        <f aca="false">'Sources &amp; Uses'!$B$14*Assumptions!$B$22</f>
        <v>1395.87</v>
      </c>
      <c r="D25" s="39" t="n">
        <f aca="false">'Sources &amp; Uses'!$B$14*Assumptions!$B$22</f>
        <v>1395.87</v>
      </c>
      <c r="E25" s="39" t="n">
        <f aca="false">'Sources &amp; Uses'!$B$14*Assumptions!$B$22</f>
        <v>1395.87</v>
      </c>
      <c r="F25" s="39" t="n">
        <f aca="false">'Sources &amp; Uses'!$B$14*Assumptions!$B$22</f>
        <v>1395.87</v>
      </c>
      <c r="G25" s="39" t="n">
        <f aca="false">'Sources &amp; Uses'!$B$14*Assumptions!$B$22</f>
        <v>1395.87</v>
      </c>
      <c r="H25" s="19" t="s">
        <v>152</v>
      </c>
    </row>
    <row r="26" customFormat="false" ht="18" hidden="false" customHeight="true" outlineLevel="0" collapsed="false">
      <c r="A26" s="46" t="s">
        <v>153</v>
      </c>
      <c r="B26" s="39" t="n">
        <f aca="false">'Sources &amp; Uses'!$B$15*Assumptions!$B$23</f>
        <v>1560.09</v>
      </c>
      <c r="C26" s="39" t="n">
        <f aca="false">'Sources &amp; Uses'!$B$15*Assumptions!$B$23</f>
        <v>1560.09</v>
      </c>
      <c r="D26" s="39" t="n">
        <f aca="false">'Sources &amp; Uses'!$B$15*Assumptions!$B$23</f>
        <v>1560.09</v>
      </c>
      <c r="E26" s="39" t="n">
        <f aca="false">'Sources &amp; Uses'!$B$15*Assumptions!$B$23</f>
        <v>1560.09</v>
      </c>
      <c r="F26" s="39" t="n">
        <f aca="false">'Sources &amp; Uses'!$B$15*Assumptions!$B$23</f>
        <v>1560.09</v>
      </c>
      <c r="G26" s="39" t="n">
        <f aca="false">'Sources &amp; Uses'!$B$15*Assumptions!$B$23</f>
        <v>1560.09</v>
      </c>
      <c r="H26" s="19" t="s">
        <v>152</v>
      </c>
    </row>
    <row r="27" customFormat="false" ht="19.5" hidden="false" customHeight="true" outlineLevel="0" collapsed="false">
      <c r="A27" s="37" t="s">
        <v>154</v>
      </c>
      <c r="B27" s="38" t="n">
        <f aca="false">B24+B25+B26</f>
        <v>7554.12</v>
      </c>
      <c r="C27" s="38" t="n">
        <f aca="false">C24+C25+C26</f>
        <v>3001.9416</v>
      </c>
      <c r="D27" s="38" t="n">
        <f aca="false">D24+D25+D26</f>
        <v>3001.9416</v>
      </c>
      <c r="E27" s="38" t="n">
        <f aca="false">E24+E25+E26</f>
        <v>3001.9416</v>
      </c>
      <c r="F27" s="38" t="n">
        <f aca="false">F24+F25+F26</f>
        <v>3001.9416</v>
      </c>
      <c r="G27" s="38" t="n">
        <f aca="false">G24+G25+G26</f>
        <v>3001.9416</v>
      </c>
    </row>
    <row r="29" customFormat="false" ht="7.5" hidden="false" customHeight="true" outlineLevel="0" collapsed="false">
      <c r="A29" s="16" t="s">
        <v>155</v>
      </c>
      <c r="B29" s="16"/>
      <c r="C29" s="16"/>
      <c r="D29" s="16"/>
      <c r="E29" s="16"/>
      <c r="F29" s="16"/>
      <c r="G29" s="16"/>
    </row>
    <row r="30" customFormat="false" ht="18" hidden="false" customHeight="true" outlineLevel="0" collapsed="false">
      <c r="A30" s="17" t="s">
        <v>156</v>
      </c>
      <c r="B30" s="34" t="n">
        <f aca="false">B6</f>
        <v>14280</v>
      </c>
      <c r="C30" s="34" t="n">
        <f aca="false">C6</f>
        <v>15449.9664</v>
      </c>
      <c r="D30" s="34" t="n">
        <f aca="false">D6</f>
        <v>16670.16261</v>
      </c>
      <c r="E30" s="34" t="n">
        <f aca="false">E6</f>
        <v>17737.05301704</v>
      </c>
      <c r="F30" s="34" t="n">
        <f aca="false">F6</f>
        <v>18787.27326147</v>
      </c>
      <c r="G30" s="34" t="n">
        <f aca="false">G6</f>
        <v>19803.4196935252</v>
      </c>
    </row>
    <row r="31" customFormat="false" ht="18" hidden="false" customHeight="true" outlineLevel="0" collapsed="false">
      <c r="A31" s="17" t="s">
        <v>157</v>
      </c>
      <c r="B31" s="34" t="n">
        <f aca="false">B27</f>
        <v>7554.12</v>
      </c>
      <c r="C31" s="34" t="n">
        <f aca="false">C27</f>
        <v>3001.9416</v>
      </c>
      <c r="D31" s="34" t="n">
        <f aca="false">D27</f>
        <v>3001.9416</v>
      </c>
      <c r="E31" s="34" t="n">
        <f aca="false">E27</f>
        <v>3001.9416</v>
      </c>
      <c r="F31" s="34" t="n">
        <f aca="false">F27</f>
        <v>3001.9416</v>
      </c>
      <c r="G31" s="34" t="n">
        <f aca="false">G27</f>
        <v>3001.9416</v>
      </c>
    </row>
    <row r="32" customFormat="false" ht="18" hidden="false" customHeight="true" outlineLevel="0" collapsed="false">
      <c r="A32" s="17" t="s">
        <v>158</v>
      </c>
      <c r="B32" s="34" t="n">
        <f aca="false">B15</f>
        <v>574.77</v>
      </c>
      <c r="C32" s="34" t="n">
        <f aca="false">C15</f>
        <v>574.77</v>
      </c>
      <c r="D32" s="34" t="n">
        <f aca="false">D15</f>
        <v>574.77</v>
      </c>
      <c r="E32" s="34" t="n">
        <f aca="false">E15</f>
        <v>574.77</v>
      </c>
      <c r="F32" s="34" t="n">
        <f aca="false">F15</f>
        <v>574.77</v>
      </c>
      <c r="G32" s="34" t="n">
        <f aca="false">G15</f>
        <v>574.77</v>
      </c>
    </row>
    <row r="33" customFormat="false" ht="18" hidden="false" customHeight="true" outlineLevel="0" collapsed="false">
      <c r="A33" s="17" t="s">
        <v>159</v>
      </c>
      <c r="B33" s="34" t="n">
        <f aca="false">B5*Assumptions!$B$45</f>
        <v>4306.38</v>
      </c>
      <c r="C33" s="34" t="n">
        <f aca="false">C5*Assumptions!$B$45</f>
        <v>4564.7628</v>
      </c>
      <c r="D33" s="34" t="n">
        <f aca="false">D5*Assumptions!$B$45</f>
        <v>4815.824754</v>
      </c>
      <c r="E33" s="34" t="n">
        <f aca="false">E5*Assumptions!$B$45</f>
        <v>5056.6159917</v>
      </c>
      <c r="F33" s="34" t="n">
        <f aca="false">F5*Assumptions!$B$45</f>
        <v>5309.446791285</v>
      </c>
      <c r="G33" s="34" t="n">
        <f aca="false">G5*Assumptions!$B$45</f>
        <v>5548.37189689283</v>
      </c>
    </row>
    <row r="34" customFormat="false" ht="18" hidden="false" customHeight="true" outlineLevel="0" collapsed="false">
      <c r="A34" s="17" t="s">
        <v>160</v>
      </c>
      <c r="B34" s="39" t="n">
        <f aca="false">MAX(0,(B9-B27)*Assumptions!$B$47)</f>
        <v>1059.7288</v>
      </c>
      <c r="C34" s="39" t="n">
        <f aca="false">MAX(0,(C9-C27)*Assumptions!$B$47)</f>
        <v>2506.1244</v>
      </c>
      <c r="D34" s="39" t="n">
        <f aca="false">MAX(0,(D9-D27)*Assumptions!$B$47)</f>
        <v>2783.20550196</v>
      </c>
      <c r="E34" s="39" t="n">
        <f aca="false">MAX(0,(E9-E27)*Assumptions!$B$47)</f>
        <v>3022.0704097584</v>
      </c>
      <c r="F34" s="39" t="n">
        <f aca="false">MAX(0,(F9-F27)*Assumptions!$B$47)</f>
        <v>3254.6747453766</v>
      </c>
      <c r="G34" s="39" t="n">
        <f aca="false">MAX(0,(G9-G27)*Assumptions!$B$47)</f>
        <v>3480.64480081369</v>
      </c>
    </row>
    <row r="35" customFormat="false" ht="18" hidden="false" customHeight="true" outlineLevel="0" collapsed="false">
      <c r="A35" s="17" t="s">
        <v>161</v>
      </c>
      <c r="B35" s="20" t="n">
        <v>0</v>
      </c>
      <c r="C35" s="34" t="n">
        <f aca="false">(C5-B5)*Assumptions!$B$46</f>
        <v>39.7512000000001</v>
      </c>
      <c r="D35" s="34" t="n">
        <f aca="false">(D5-C5)*Assumptions!$B$46</f>
        <v>38.6249159999999</v>
      </c>
      <c r="E35" s="34" t="n">
        <f aca="false">(E5-D5)*Assumptions!$B$46</f>
        <v>37.0448058</v>
      </c>
      <c r="F35" s="34" t="n">
        <f aca="false">(F5-E5)*Assumptions!$B$46</f>
        <v>38.8970460900001</v>
      </c>
      <c r="G35" s="34" t="n">
        <f aca="false">(G5-F5)*Assumptions!$B$46</f>
        <v>36.7577085550499</v>
      </c>
    </row>
    <row r="36" customFormat="false" ht="21.75" hidden="false" customHeight="true" outlineLevel="0" collapsed="false">
      <c r="A36" s="37" t="s">
        <v>162</v>
      </c>
      <c r="B36" s="38" t="n">
        <f aca="false">B30-B31-B32-B33-B34-B35</f>
        <v>785.0012</v>
      </c>
      <c r="C36" s="38" t="n">
        <f aca="false">C30-C31-C32-C33-C34-C35</f>
        <v>4762.6164</v>
      </c>
      <c r="D36" s="38" t="n">
        <f aca="false">D30-D31-D32-D33-D34-D35</f>
        <v>5455.79583804</v>
      </c>
      <c r="E36" s="38" t="n">
        <f aca="false">E30-E31-E32-E33-E34-E35</f>
        <v>6044.6102097816</v>
      </c>
      <c r="F36" s="38" t="n">
        <f aca="false">F30-F31-F32-F33-F34-F35</f>
        <v>6607.5430787184</v>
      </c>
      <c r="G36" s="38" t="n">
        <f aca="false">G30-G31-G32-G33-G34-G35</f>
        <v>7160.9336872636</v>
      </c>
    </row>
    <row r="37" customFormat="false" ht="15.75" hidden="false" customHeight="true" outlineLevel="0" collapsed="false">
      <c r="A37" s="46" t="s">
        <v>163</v>
      </c>
      <c r="B37" s="35" t="n">
        <f aca="false">B36/B5</f>
        <v>0.0118487170198636</v>
      </c>
      <c r="C37" s="35" t="n">
        <f aca="false">C36/C5</f>
        <v>0.0678173389425624</v>
      </c>
      <c r="D37" s="35" t="n">
        <f aca="false">D36/D5</f>
        <v>0.0736377977994421</v>
      </c>
      <c r="E37" s="35" t="n">
        <f aca="false">E36/E5</f>
        <v>0.0777001188701525</v>
      </c>
      <c r="F37" s="35" t="n">
        <f aca="false">F36/F5</f>
        <v>0.0808917231869933</v>
      </c>
      <c r="G37" s="35" t="n">
        <f aca="false">G36/G5</f>
        <v>0.0838914006346256</v>
      </c>
    </row>
  </sheetData>
  <mergeCells count="5">
    <mergeCell ref="A1:H1"/>
    <mergeCell ref="A4:G4"/>
    <mergeCell ref="A12:G12"/>
    <mergeCell ref="A23:G23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25.5" hidden="false" customHeight="true" outlineLevel="0" collapsed="false">
      <c r="A1" s="32" t="s">
        <v>164</v>
      </c>
      <c r="B1" s="32"/>
      <c r="C1" s="32"/>
      <c r="D1" s="32"/>
      <c r="E1" s="32"/>
      <c r="F1" s="32"/>
      <c r="G1" s="32"/>
    </row>
    <row r="2" customFormat="false" ht="7.5" hidden="false" customHeight="true" outlineLevel="0" collapsed="false">
      <c r="A2" s="15"/>
      <c r="B2" s="15"/>
      <c r="C2" s="15"/>
      <c r="D2" s="15"/>
      <c r="E2" s="15"/>
      <c r="F2" s="15"/>
      <c r="G2" s="15"/>
    </row>
    <row r="3" customFormat="false" ht="7.5" hidden="false" customHeight="true" outlineLevel="0" collapsed="false">
      <c r="A3" s="16" t="s">
        <v>165</v>
      </c>
      <c r="B3" s="16"/>
      <c r="C3" s="16"/>
      <c r="D3" s="16"/>
      <c r="E3" s="16"/>
      <c r="F3" s="16"/>
      <c r="G3" s="16"/>
    </row>
    <row r="4" customFormat="false" ht="18" hidden="false" customHeight="true" outlineLevel="0" collapsed="false">
      <c r="A4" s="17" t="s">
        <v>166</v>
      </c>
      <c r="B4" s="34" t="n">
        <f aca="false">'Operating Model'!G6</f>
        <v>19803.4196935252</v>
      </c>
    </row>
    <row r="5" customFormat="false" ht="18" hidden="false" customHeight="true" outlineLevel="0" collapsed="false">
      <c r="A5" s="17" t="s">
        <v>64</v>
      </c>
      <c r="B5" s="47" t="n">
        <f aca="false">Assumptions!B29</f>
        <v>12</v>
      </c>
    </row>
    <row r="6" customFormat="false" ht="21.75" hidden="false" customHeight="true" outlineLevel="0" collapsed="false">
      <c r="A6" s="23" t="s">
        <v>167</v>
      </c>
      <c r="B6" s="48" t="n">
        <f aca="false">B4*B5</f>
        <v>237641.036322302</v>
      </c>
      <c r="C6" s="49"/>
      <c r="D6" s="49"/>
      <c r="E6" s="49"/>
      <c r="F6" s="49"/>
      <c r="G6" s="49"/>
    </row>
    <row r="7" customFormat="false" ht="18" hidden="false" customHeight="true" outlineLevel="0" collapsed="false">
      <c r="A7" s="17" t="s">
        <v>168</v>
      </c>
      <c r="B7" s="39" t="n">
        <f aca="false">B6*Assumptions!B31</f>
        <v>3564.61554483453</v>
      </c>
    </row>
    <row r="8" customFormat="false" ht="18" hidden="false" customHeight="true" outlineLevel="0" collapsed="false">
      <c r="A8" s="17" t="s">
        <v>169</v>
      </c>
      <c r="B8" s="34" t="n">
        <f aca="false">'Operating Model'!G21</f>
        <v>32844</v>
      </c>
    </row>
    <row r="9" customFormat="false" ht="21.75" hidden="false" customHeight="true" outlineLevel="0" collapsed="false">
      <c r="A9" s="37" t="s">
        <v>170</v>
      </c>
      <c r="B9" s="38" t="n">
        <f aca="false">B6-B7-B8</f>
        <v>201232.420777467</v>
      </c>
    </row>
    <row r="11" customFormat="false" ht="7.5" hidden="false" customHeight="true" outlineLevel="0" collapsed="false">
      <c r="A11" s="16" t="s">
        <v>171</v>
      </c>
      <c r="B11" s="16"/>
      <c r="C11" s="16"/>
      <c r="D11" s="16"/>
      <c r="E11" s="16"/>
      <c r="F11" s="16"/>
      <c r="G11" s="16"/>
    </row>
    <row r="12" customFormat="false" ht="18" hidden="false" customHeight="true" outlineLevel="0" collapsed="false">
      <c r="A12" s="17" t="s">
        <v>172</v>
      </c>
      <c r="B12" s="34" t="n">
        <f aca="false">'Sources &amp; Uses'!B18</f>
        <v>75541.2</v>
      </c>
    </row>
    <row r="13" customFormat="false" ht="18" hidden="false" customHeight="true" outlineLevel="0" collapsed="false">
      <c r="A13" s="17" t="s">
        <v>173</v>
      </c>
      <c r="B13" s="35" t="n">
        <f aca="false">('Sources &amp; Uses'!B18)/('Sources &amp; Uses'!B18+'Sources &amp; Uses'!B17)</f>
        <v>0.958333333333333</v>
      </c>
    </row>
    <row r="14" customFormat="false" ht="18" hidden="false" customHeight="true" outlineLevel="0" collapsed="false">
      <c r="A14" s="17" t="s">
        <v>174</v>
      </c>
      <c r="B14" s="39" t="n">
        <f aca="false">B9*B13</f>
        <v>192847.736578406</v>
      </c>
    </row>
    <row r="15" customFormat="false" ht="21.75" hidden="false" customHeight="true" outlineLevel="0" collapsed="false">
      <c r="A15" s="23" t="s">
        <v>175</v>
      </c>
      <c r="B15" s="50" t="n">
        <f aca="false">(B14/B12)^(1/Assumptions!B28)-1</f>
        <v>0.206163364628124</v>
      </c>
      <c r="C15" s="49"/>
      <c r="D15" s="49"/>
      <c r="E15" s="49"/>
      <c r="F15" s="49"/>
      <c r="G15" s="49"/>
    </row>
    <row r="16" customFormat="false" ht="21.75" hidden="false" customHeight="true" outlineLevel="0" collapsed="false">
      <c r="A16" s="23" t="s">
        <v>176</v>
      </c>
      <c r="B16" s="51" t="n">
        <f aca="false">B14/B12</f>
        <v>2.55288156103433</v>
      </c>
      <c r="C16" s="49"/>
      <c r="D16" s="49"/>
      <c r="E16" s="49"/>
      <c r="F16" s="49"/>
      <c r="G16" s="49"/>
    </row>
    <row r="17" customFormat="false" ht="18" hidden="false" customHeight="true" outlineLevel="0" collapsed="false">
      <c r="A17" s="17" t="s">
        <v>62</v>
      </c>
      <c r="B17" s="52" t="n">
        <f aca="false">Assumptions!B28</f>
        <v>5</v>
      </c>
    </row>
    <row r="19" customFormat="false" ht="7.5" hidden="false" customHeight="true" outlineLevel="0" collapsed="false">
      <c r="A19" s="16" t="s">
        <v>177</v>
      </c>
      <c r="B19" s="16"/>
      <c r="C19" s="16"/>
      <c r="D19" s="16"/>
      <c r="E19" s="16"/>
      <c r="F19" s="16"/>
      <c r="G19" s="16"/>
    </row>
    <row r="20" customFormat="false" ht="19.5" hidden="false" customHeight="true" outlineLevel="0" collapsed="false">
      <c r="A20" s="44" t="s">
        <v>178</v>
      </c>
      <c r="B20" s="53" t="n">
        <v>10</v>
      </c>
      <c r="C20" s="53" t="n">
        <v>10.5</v>
      </c>
      <c r="D20" s="53" t="n">
        <v>11</v>
      </c>
      <c r="E20" s="54" t="n">
        <v>11.5</v>
      </c>
      <c r="F20" s="53" t="n">
        <v>12</v>
      </c>
      <c r="G20" s="53" t="n">
        <v>12.5</v>
      </c>
    </row>
    <row r="21" customFormat="false" ht="18" hidden="false" customHeight="true" outlineLevel="0" collapsed="false">
      <c r="A21" s="53" t="n">
        <v>10</v>
      </c>
      <c r="B21" s="42" t="n">
        <f aca="false">MAX(0,('Operating Model'!$G$6*10-'Operating Model'!$G$21)/(('Sources &amp; Uses'!$B$18/Assumptions!$B$8)*10*Assumptions!$B$6))</f>
        <v>2.51476977431573</v>
      </c>
      <c r="C21" s="42" t="n">
        <f aca="false">MAX(0,('Operating Model'!$G$6*10-'Operating Model'!$G$21)/(('Sources &amp; Uses'!$B$18/Assumptions!$B$8)*10.5*Assumptions!$B$6))</f>
        <v>2.39501883268165</v>
      </c>
      <c r="D21" s="42" t="n">
        <f aca="false">MAX(0,('Operating Model'!$G$6*10-'Operating Model'!$G$21)/(('Sources &amp; Uses'!$B$18/Assumptions!$B$8)*11*Assumptions!$B$6))</f>
        <v>2.28615434028703</v>
      </c>
      <c r="E21" s="42" t="n">
        <f aca="false">MAX(0,('Operating Model'!$G$6*10-'Operating Model'!$G$21)/(('Sources &amp; Uses'!$B$18/Assumptions!$B$8)*11.5*Assumptions!$B$6))</f>
        <v>2.18675632549194</v>
      </c>
      <c r="F21" s="42" t="n">
        <f aca="false">MAX(0,('Operating Model'!$G$6*10-'Operating Model'!$G$21)/(('Sources &amp; Uses'!$B$18/Assumptions!$B$8)*12*Assumptions!$B$6))</f>
        <v>2.09564147859644</v>
      </c>
      <c r="G21" s="42" t="n">
        <f aca="false">MAX(0,('Operating Model'!$G$6*10-'Operating Model'!$G$21)/(('Sources &amp; Uses'!$B$18/Assumptions!$B$8)*12.5*Assumptions!$B$6))</f>
        <v>2.01181581945258</v>
      </c>
    </row>
    <row r="22" customFormat="false" ht="18" hidden="false" customHeight="true" outlineLevel="0" collapsed="false">
      <c r="A22" s="53" t="n">
        <v>11</v>
      </c>
      <c r="B22" s="42" t="n">
        <f aca="false">MAX(0,('Operating Model'!$G$6*11-'Operating Model'!$G$21)/(('Sources &amp; Uses'!$B$18/Assumptions!$B$8)*10*Assumptions!$B$6))</f>
        <v>2.8162467517473</v>
      </c>
      <c r="C22" s="42" t="n">
        <f aca="false">MAX(0,('Operating Model'!$G$6*11-'Operating Model'!$G$21)/(('Sources &amp; Uses'!$B$18/Assumptions!$B$8)*10.5*Assumptions!$B$6))</f>
        <v>2.68213976356886</v>
      </c>
      <c r="D22" s="42" t="n">
        <f aca="false">MAX(0,('Operating Model'!$G$6*11-'Operating Model'!$G$21)/(('Sources &amp; Uses'!$B$18/Assumptions!$B$8)*11*Assumptions!$B$6))</f>
        <v>2.56022431977028</v>
      </c>
      <c r="E22" s="42" t="n">
        <f aca="false">MAX(0,('Operating Model'!$G$6*11-'Operating Model'!$G$21)/(('Sources &amp; Uses'!$B$18/Assumptions!$B$8)*11.5*Assumptions!$B$6))</f>
        <v>2.4489102189107</v>
      </c>
      <c r="F22" s="42" t="n">
        <f aca="false">MAX(0,('Operating Model'!$G$6*11-'Operating Model'!$G$21)/(('Sources &amp; Uses'!$B$18/Assumptions!$B$8)*12*Assumptions!$B$6))</f>
        <v>2.34687229312275</v>
      </c>
      <c r="G22" s="42" t="n">
        <f aca="false">MAX(0,('Operating Model'!$G$6*11-'Operating Model'!$G$21)/(('Sources &amp; Uses'!$B$18/Assumptions!$B$8)*12.5*Assumptions!$B$6))</f>
        <v>2.25299740139784</v>
      </c>
    </row>
    <row r="23" customFormat="false" ht="18" hidden="false" customHeight="true" outlineLevel="0" collapsed="false">
      <c r="A23" s="54" t="n">
        <v>12</v>
      </c>
      <c r="B23" s="42" t="n">
        <f aca="false">MAX(0,('Operating Model'!$G$6*12-'Operating Model'!$G$21)/(('Sources &amp; Uses'!$B$18/Assumptions!$B$8)*10*Assumptions!$B$6))</f>
        <v>3.11772372917887</v>
      </c>
      <c r="C23" s="42" t="n">
        <f aca="false">MAX(0,('Operating Model'!$G$6*12-'Operating Model'!$G$21)/(('Sources &amp; Uses'!$B$18/Assumptions!$B$8)*10.5*Assumptions!$B$6))</f>
        <v>2.96926069445607</v>
      </c>
      <c r="D23" s="42" t="n">
        <f aca="false">MAX(0,('Operating Model'!$G$6*12-'Operating Model'!$G$21)/(('Sources &amp; Uses'!$B$18/Assumptions!$B$8)*11*Assumptions!$B$6))</f>
        <v>2.83429429925352</v>
      </c>
      <c r="E23" s="55" t="n">
        <f aca="false">MAX(0,('Operating Model'!$G$6*12-'Operating Model'!$G$21)/(('Sources &amp; Uses'!$B$18/Assumptions!$B$8)*11.5*Assumptions!$B$6))</f>
        <v>2.71106411232946</v>
      </c>
      <c r="F23" s="42" t="n">
        <f aca="false">MAX(0,('Operating Model'!$G$6*12-'Operating Model'!$G$21)/(('Sources &amp; Uses'!$B$18/Assumptions!$B$8)*12*Assumptions!$B$6))</f>
        <v>2.59810310764906</v>
      </c>
      <c r="G23" s="42" t="n">
        <f aca="false">MAX(0,('Operating Model'!$G$6*12-'Operating Model'!$G$21)/(('Sources &amp; Uses'!$B$18/Assumptions!$B$8)*12.5*Assumptions!$B$6))</f>
        <v>2.4941789833431</v>
      </c>
    </row>
    <row r="24" customFormat="false" ht="18" hidden="false" customHeight="true" outlineLevel="0" collapsed="false">
      <c r="A24" s="53" t="n">
        <v>13</v>
      </c>
      <c r="B24" s="42" t="n">
        <f aca="false">MAX(0,('Operating Model'!$G$6*13-'Operating Model'!$G$21)/(('Sources &amp; Uses'!$B$18/Assumptions!$B$8)*10*Assumptions!$B$6))</f>
        <v>3.41920070661045</v>
      </c>
      <c r="C24" s="42" t="n">
        <f aca="false">MAX(0,('Operating Model'!$G$6*13-'Operating Model'!$G$21)/(('Sources &amp; Uses'!$B$18/Assumptions!$B$8)*10.5*Assumptions!$B$6))</f>
        <v>3.25638162534328</v>
      </c>
      <c r="D24" s="42" t="n">
        <f aca="false">MAX(0,('Operating Model'!$G$6*13-'Operating Model'!$G$21)/(('Sources &amp; Uses'!$B$18/Assumptions!$B$8)*11*Assumptions!$B$6))</f>
        <v>3.10836427873677</v>
      </c>
      <c r="E24" s="42" t="n">
        <f aca="false">MAX(0,('Operating Model'!$G$6*13-'Operating Model'!$G$21)/(('Sources &amp; Uses'!$B$18/Assumptions!$B$8)*11.5*Assumptions!$B$6))</f>
        <v>2.97321800574822</v>
      </c>
      <c r="F24" s="42" t="n">
        <f aca="false">MAX(0,('Operating Model'!$G$6*13-'Operating Model'!$G$21)/(('Sources &amp; Uses'!$B$18/Assumptions!$B$8)*12*Assumptions!$B$6))</f>
        <v>2.84933392217537</v>
      </c>
      <c r="G24" s="42" t="n">
        <f aca="false">MAX(0,('Operating Model'!$G$6*13-'Operating Model'!$G$21)/(('Sources &amp; Uses'!$B$18/Assumptions!$B$8)*12.5*Assumptions!$B$6))</f>
        <v>2.73536056528836</v>
      </c>
    </row>
    <row r="25" customFormat="false" ht="18" hidden="false" customHeight="true" outlineLevel="0" collapsed="false">
      <c r="A25" s="53" t="n">
        <v>14</v>
      </c>
      <c r="B25" s="42" t="n">
        <f aca="false">MAX(0,('Operating Model'!$G$6*14-'Operating Model'!$G$21)/(('Sources &amp; Uses'!$B$18/Assumptions!$B$8)*10*Assumptions!$B$6))</f>
        <v>3.72067768404202</v>
      </c>
      <c r="C25" s="42" t="n">
        <f aca="false">MAX(0,('Operating Model'!$G$6*14-'Operating Model'!$G$21)/(('Sources &amp; Uses'!$B$18/Assumptions!$B$8)*10.5*Assumptions!$B$6))</f>
        <v>3.5435025562305</v>
      </c>
      <c r="D25" s="42" t="n">
        <f aca="false">MAX(0,('Operating Model'!$G$6*14-'Operating Model'!$G$21)/(('Sources &amp; Uses'!$B$18/Assumptions!$B$8)*11*Assumptions!$B$6))</f>
        <v>3.38243425822002</v>
      </c>
      <c r="E25" s="42" t="n">
        <f aca="false">MAX(0,('Operating Model'!$G$6*14-'Operating Model'!$G$21)/(('Sources &amp; Uses'!$B$18/Assumptions!$B$8)*11.5*Assumptions!$B$6))</f>
        <v>3.23537189916698</v>
      </c>
      <c r="F25" s="42" t="n">
        <f aca="false">MAX(0,('Operating Model'!$G$6*14-'Operating Model'!$G$21)/(('Sources &amp; Uses'!$B$18/Assumptions!$B$8)*12*Assumptions!$B$6))</f>
        <v>3.10056473670168</v>
      </c>
      <c r="G25" s="42" t="n">
        <f aca="false">MAX(0,('Operating Model'!$G$6*14-'Operating Model'!$G$21)/(('Sources &amp; Uses'!$B$18/Assumptions!$B$8)*12.5*Assumptions!$B$6))</f>
        <v>2.97654214723362</v>
      </c>
    </row>
    <row r="27" customFormat="false" ht="7.5" hidden="false" customHeight="true" outlineLevel="0" collapsed="false">
      <c r="A27" s="16" t="s">
        <v>179</v>
      </c>
      <c r="B27" s="16"/>
      <c r="C27" s="16"/>
      <c r="D27" s="16"/>
      <c r="E27" s="16"/>
      <c r="F27" s="16"/>
      <c r="G27" s="16"/>
    </row>
    <row r="28" customFormat="false" ht="19.5" hidden="false" customHeight="true" outlineLevel="0" collapsed="false">
      <c r="A28" s="44" t="s">
        <v>178</v>
      </c>
      <c r="B28" s="53" t="n">
        <v>10</v>
      </c>
      <c r="C28" s="53" t="n">
        <v>10.5</v>
      </c>
      <c r="D28" s="53" t="n">
        <v>11</v>
      </c>
      <c r="E28" s="54" t="n">
        <v>11.5</v>
      </c>
      <c r="F28" s="53" t="n">
        <v>12</v>
      </c>
      <c r="G28" s="53" t="n">
        <v>12.5</v>
      </c>
    </row>
    <row r="29" customFormat="false" ht="18" hidden="false" customHeight="true" outlineLevel="0" collapsed="false">
      <c r="A29" s="53" t="n">
        <v>10</v>
      </c>
      <c r="B29" s="56" t="n">
        <f aca="false">IF(MAX(0.001,('Operating Model'!$G$6*10-'Operating Model'!$G$21)/(('Sources &amp; Uses'!$B$18/Assumptions!$B$8)*10*Assumptions!$B$6))&gt;0,MAX(0.001,('Operating Model'!$G$6*10-'Operating Model'!$G$21)/(('Sources &amp; Uses'!$B$18/Assumptions!$B$8)*10*Assumptions!$B$6))^(1/Assumptions!$B$28)-1,"N/A")</f>
        <v>0.202540318900419</v>
      </c>
      <c r="C29" s="56" t="n">
        <f aca="false">IF(MAX(0.001,('Operating Model'!$G$6*10-'Operating Model'!$G$21)/(('Sources &amp; Uses'!$B$18/Assumptions!$B$8)*10.5*Assumptions!$B$6))&gt;0,MAX(0.001,('Operating Model'!$G$6*10-'Operating Model'!$G$21)/(('Sources &amp; Uses'!$B$18/Assumptions!$B$8)*10.5*Assumptions!$B$6))^(1/Assumptions!$B$28)-1,"N/A")</f>
        <v>0.190862957680555</v>
      </c>
      <c r="D29" s="56" t="n">
        <f aca="false">IF(MAX(0.001,('Operating Model'!$G$6*10-'Operating Model'!$G$21)/(('Sources &amp; Uses'!$B$18/Assumptions!$B$8)*11*Assumptions!$B$6))&gt;0,MAX(0.001,('Operating Model'!$G$6*10-'Operating Model'!$G$21)/(('Sources &amp; Uses'!$B$18/Assumptions!$B$8)*11*Assumptions!$B$6))^(1/Assumptions!$B$28)-1,"N/A")</f>
        <v>0.179834548729761</v>
      </c>
      <c r="E29" s="56" t="n">
        <f aca="false">IF(MAX(0.001,('Operating Model'!$G$6*10-'Operating Model'!$G$21)/(('Sources &amp; Uses'!$B$18/Assumptions!$B$8)*11.5*Assumptions!$B$6))&gt;0,MAX(0.001,('Operating Model'!$G$6*10-'Operating Model'!$G$21)/(('Sources &amp; Uses'!$B$18/Assumptions!$B$8)*11.5*Assumptions!$B$6))^(1/Assumptions!$B$28)-1,"N/A")</f>
        <v>0.169391891914087</v>
      </c>
      <c r="F29" s="56" t="n">
        <f aca="false">IF(MAX(0.001,('Operating Model'!$G$6*10-'Operating Model'!$G$21)/(('Sources &amp; Uses'!$B$18/Assumptions!$B$8)*12*Assumptions!$B$6))&gt;0,MAX(0.001,('Operating Model'!$G$6*10-'Operating Model'!$G$21)/(('Sources &amp; Uses'!$B$18/Assumptions!$B$8)*12*Assumptions!$B$6))^(1/Assumptions!$B$28)-1,"N/A")</f>
        <v>0.159480361244713</v>
      </c>
      <c r="G29" s="56" t="n">
        <f aca="false">IF(MAX(0.001,('Operating Model'!$G$6*10-'Operating Model'!$G$21)/(('Sources &amp; Uses'!$B$18/Assumptions!$B$8)*12.5*Assumptions!$B$6))&gt;0,MAX(0.001,('Operating Model'!$G$6*10-'Operating Model'!$G$21)/(('Sources &amp; Uses'!$B$18/Assumptions!$B$8)*12.5*Assumptions!$B$6))^(1/Assumptions!$B$28)-1,"N/A")</f>
        <v>0.150052440078724</v>
      </c>
    </row>
    <row r="30" customFormat="false" ht="18" hidden="false" customHeight="true" outlineLevel="0" collapsed="false">
      <c r="A30" s="53" t="n">
        <v>11</v>
      </c>
      <c r="B30" s="56" t="n">
        <f aca="false">IF(MAX(0.001,('Operating Model'!$G$6*11-'Operating Model'!$G$21)/(('Sources &amp; Uses'!$B$18/Assumptions!$B$8)*10*Assumptions!$B$6))&gt;0,MAX(0.001,('Operating Model'!$G$6*11-'Operating Model'!$G$21)/(('Sources &amp; Uses'!$B$18/Assumptions!$B$8)*10*Assumptions!$B$6))^(1/Assumptions!$B$28)-1,"N/A")</f>
        <v>0.230082219009446</v>
      </c>
      <c r="C30" s="56" t="n">
        <f aca="false">IF(MAX(0.001,('Operating Model'!$G$6*11-'Operating Model'!$G$21)/(('Sources &amp; Uses'!$B$18/Assumptions!$B$8)*10.5*Assumptions!$B$6))&gt;0,MAX(0.001,('Operating Model'!$G$6*11-'Operating Model'!$G$21)/(('Sources &amp; Uses'!$B$18/Assumptions!$B$8)*10.5*Assumptions!$B$6))^(1/Assumptions!$B$28)-1,"N/A")</f>
        <v>0.218137410028206</v>
      </c>
      <c r="D30" s="56" t="n">
        <f aca="false">IF(MAX(0.001,('Operating Model'!$G$6*11-'Operating Model'!$G$21)/(('Sources &amp; Uses'!$B$18/Assumptions!$B$8)*11*Assumptions!$B$6))&gt;0,MAX(0.001,('Operating Model'!$G$6*11-'Operating Model'!$G$21)/(('Sources &amp; Uses'!$B$18/Assumptions!$B$8)*11*Assumptions!$B$6))^(1/Assumptions!$B$28)-1,"N/A")</f>
        <v>0.206856416334173</v>
      </c>
      <c r="E30" s="56" t="n">
        <f aca="false">IF(MAX(0.001,('Operating Model'!$G$6*11-'Operating Model'!$G$21)/(('Sources &amp; Uses'!$B$18/Assumptions!$B$8)*11.5*Assumptions!$B$6))&gt;0,MAX(0.001,('Operating Model'!$G$6*11-'Operating Model'!$G$21)/(('Sources &amp; Uses'!$B$18/Assumptions!$B$8)*11.5*Assumptions!$B$6))^(1/Assumptions!$B$28)-1,"N/A")</f>
        <v>0.196174590314465</v>
      </c>
      <c r="F30" s="56" t="n">
        <f aca="false">IF(MAX(0.001,('Operating Model'!$G$6*11-'Operating Model'!$G$21)/(('Sources &amp; Uses'!$B$18/Assumptions!$B$8)*12*Assumptions!$B$6))&gt;0,MAX(0.001,('Operating Model'!$G$6*11-'Operating Model'!$G$21)/(('Sources &amp; Uses'!$B$18/Assumptions!$B$8)*12*Assumptions!$B$6))^(1/Assumptions!$B$28)-1,"N/A")</f>
        <v>0.186036054875826</v>
      </c>
      <c r="G30" s="56" t="n">
        <f aca="false">IF(MAX(0.001,('Operating Model'!$G$6*11-'Operating Model'!$G$21)/(('Sources &amp; Uses'!$B$18/Assumptions!$B$8)*12.5*Assumptions!$B$6))&gt;0,MAX(0.001,('Operating Model'!$G$6*11-'Operating Model'!$G$21)/(('Sources &amp; Uses'!$B$18/Assumptions!$B$8)*12.5*Assumptions!$B$6))^(1/Assumptions!$B$28)-1,"N/A")</f>
        <v>0.17639220509696</v>
      </c>
    </row>
    <row r="31" customFormat="false" ht="18" hidden="false" customHeight="true" outlineLevel="0" collapsed="false">
      <c r="A31" s="54" t="n">
        <v>12</v>
      </c>
      <c r="B31" s="56" t="n">
        <f aca="false">IF(MAX(0.001,('Operating Model'!$G$6*12-'Operating Model'!$G$21)/(('Sources &amp; Uses'!$B$18/Assumptions!$B$8)*10*Assumptions!$B$6))&gt;0,MAX(0.001,('Operating Model'!$G$6*12-'Operating Model'!$G$21)/(('Sources &amp; Uses'!$B$18/Assumptions!$B$8)*10*Assumptions!$B$6))^(1/Assumptions!$B$28)-1,"N/A")</f>
        <v>0.25535780095678</v>
      </c>
      <c r="C31" s="56" t="n">
        <f aca="false">IF(MAX(0.001,('Operating Model'!$G$6*12-'Operating Model'!$G$21)/(('Sources &amp; Uses'!$B$18/Assumptions!$B$8)*10.5*Assumptions!$B$6))&gt;0,MAX(0.001,('Operating Model'!$G$6*12-'Operating Model'!$G$21)/(('Sources &amp; Uses'!$B$18/Assumptions!$B$8)*10.5*Assumptions!$B$6))^(1/Assumptions!$B$28)-1,"N/A")</f>
        <v>0.243167551472796</v>
      </c>
      <c r="D31" s="56" t="n">
        <f aca="false">IF(MAX(0.001,('Operating Model'!$G$6*12-'Operating Model'!$G$21)/(('Sources &amp; Uses'!$B$18/Assumptions!$B$8)*11*Assumptions!$B$6))&gt;0,MAX(0.001,('Operating Model'!$G$6*12-'Operating Model'!$G$21)/(('Sources &amp; Uses'!$B$18/Assumptions!$B$8)*11*Assumptions!$B$6))^(1/Assumptions!$B$28)-1,"N/A")</f>
        <v>0.231654757272947</v>
      </c>
      <c r="E31" s="57" t="n">
        <f aca="false">IF(MAX(0.001,('Operating Model'!$G$6*12-'Operating Model'!$G$21)/(('Sources &amp; Uses'!$B$18/Assumptions!$B$8)*11.5*Assumptions!$B$6))&gt;0,MAX(0.001,('Operating Model'!$G$6*12-'Operating Model'!$G$21)/(('Sources &amp; Uses'!$B$18/Assumptions!$B$8)*11.5*Assumptions!$B$6))^(1/Assumptions!$B$28)-1,"N/A")</f>
        <v>0.220753442372955</v>
      </c>
      <c r="F31" s="56" t="n">
        <f aca="false">IF(MAX(0.001,('Operating Model'!$G$6*12-'Operating Model'!$G$21)/(('Sources &amp; Uses'!$B$18/Assumptions!$B$8)*12*Assumptions!$B$6))&gt;0,MAX(0.001,('Operating Model'!$G$6*12-'Operating Model'!$G$21)/(('Sources &amp; Uses'!$B$18/Assumptions!$B$8)*12*Assumptions!$B$6))^(1/Assumptions!$B$28)-1,"N/A")</f>
        <v>0.210406581523749</v>
      </c>
      <c r="G31" s="56" t="n">
        <f aca="false">IF(MAX(0.001,('Operating Model'!$G$6*12-'Operating Model'!$G$21)/(('Sources &amp; Uses'!$B$18/Assumptions!$B$8)*12.5*Assumptions!$B$6))&gt;0,MAX(0.001,('Operating Model'!$G$6*12-'Operating Model'!$G$21)/(('Sources &amp; Uses'!$B$18/Assumptions!$B$8)*12.5*Assumptions!$B$6))^(1/Assumptions!$B$28)-1,"N/A")</f>
        <v>0.20056457107594</v>
      </c>
    </row>
    <row r="32" customFormat="false" ht="18" hidden="false" customHeight="true" outlineLevel="0" collapsed="false">
      <c r="A32" s="53" t="n">
        <v>13</v>
      </c>
      <c r="B32" s="56" t="n">
        <f aca="false">IF(MAX(0.001,('Operating Model'!$G$6*13-'Operating Model'!$G$21)/(('Sources &amp; Uses'!$B$18/Assumptions!$B$8)*10*Assumptions!$B$6))&gt;0,MAX(0.001,('Operating Model'!$G$6*13-'Operating Model'!$G$21)/(('Sources &amp; Uses'!$B$18/Assumptions!$B$8)*10*Assumptions!$B$6))^(1/Assumptions!$B$28)-1,"N/A")</f>
        <v>0.278747857027486</v>
      </c>
      <c r="C32" s="56" t="n">
        <f aca="false">IF(MAX(0.001,('Operating Model'!$G$6*13-'Operating Model'!$G$21)/(('Sources &amp; Uses'!$B$18/Assumptions!$B$8)*10.5*Assumptions!$B$6))&gt;0,MAX(0.001,('Operating Model'!$G$6*13-'Operating Model'!$G$21)/(('Sources &amp; Uses'!$B$18/Assumptions!$B$8)*10.5*Assumptions!$B$6))^(1/Assumptions!$B$28)-1,"N/A")</f>
        <v>0.266330476586312</v>
      </c>
      <c r="D32" s="56" t="n">
        <f aca="false">IF(MAX(0.001,('Operating Model'!$G$6*13-'Operating Model'!$G$21)/(('Sources &amp; Uses'!$B$18/Assumptions!$B$8)*11*Assumptions!$B$6))&gt;0,MAX(0.001,('Operating Model'!$G$6*13-'Operating Model'!$G$21)/(('Sources &amp; Uses'!$B$18/Assumptions!$B$8)*11*Assumptions!$B$6))^(1/Assumptions!$B$28)-1,"N/A")</f>
        <v>0.254603173899991</v>
      </c>
      <c r="E32" s="56" t="n">
        <f aca="false">IF(MAX(0.001,('Operating Model'!$G$6*13-'Operating Model'!$G$21)/(('Sources &amp; Uses'!$B$18/Assumptions!$B$8)*11.5*Assumptions!$B$6))&gt;0,MAX(0.001,('Operating Model'!$G$6*13-'Operating Model'!$G$21)/(('Sources &amp; Uses'!$B$18/Assumptions!$B$8)*11.5*Assumptions!$B$6))^(1/Assumptions!$B$28)-1,"N/A")</f>
        <v>0.24349874370764</v>
      </c>
      <c r="F32" s="56" t="n">
        <f aca="false">IF(MAX(0.001,('Operating Model'!$G$6*13-'Operating Model'!$G$21)/(('Sources &amp; Uses'!$B$18/Assumptions!$B$8)*12*Assumptions!$B$6))&gt;0,MAX(0.001,('Operating Model'!$G$6*13-'Operating Model'!$G$21)/(('Sources &amp; Uses'!$B$18/Assumptions!$B$8)*12*Assumptions!$B$6))^(1/Assumptions!$B$28)-1,"N/A")</f>
        <v>0.232959098255325</v>
      </c>
      <c r="G32" s="56" t="n">
        <f aca="false">IF(MAX(0.001,('Operating Model'!$G$6*13-'Operating Model'!$G$21)/(('Sources &amp; Uses'!$B$18/Assumptions!$B$8)*12.5*Assumptions!$B$6))&gt;0,MAX(0.001,('Operating Model'!$G$6*13-'Operating Model'!$G$21)/(('Sources &amp; Uses'!$B$18/Assumptions!$B$8)*12.5*Assumptions!$B$6))^(1/Assumptions!$B$28)-1,"N/A")</f>
        <v>0.222933709669389</v>
      </c>
    </row>
    <row r="33" customFormat="false" ht="18" hidden="false" customHeight="true" outlineLevel="0" collapsed="false">
      <c r="A33" s="53" t="n">
        <v>14</v>
      </c>
      <c r="B33" s="56" t="n">
        <f aca="false">IF(MAX(0.001,('Operating Model'!$G$6*14-'Operating Model'!$G$21)/(('Sources &amp; Uses'!$B$18/Assumptions!$B$8)*10*Assumptions!$B$6))&gt;0,MAX(0.001,('Operating Model'!$G$6*14-'Operating Model'!$G$21)/(('Sources &amp; Uses'!$B$18/Assumptions!$B$8)*10*Assumptions!$B$6))^(1/Assumptions!$B$28)-1,"N/A")</f>
        <v>0.30054208363589</v>
      </c>
      <c r="C33" s="56" t="n">
        <f aca="false">IF(MAX(0.001,('Operating Model'!$G$6*14-'Operating Model'!$G$21)/(('Sources &amp; Uses'!$B$18/Assumptions!$B$8)*10.5*Assumptions!$B$6))&gt;0,MAX(0.001,('Operating Model'!$G$6*14-'Operating Model'!$G$21)/(('Sources &amp; Uses'!$B$18/Assumptions!$B$8)*10.5*Assumptions!$B$6))^(1/Assumptions!$B$28)-1,"N/A")</f>
        <v>0.287913068663538</v>
      </c>
      <c r="D33" s="56" t="n">
        <f aca="false">IF(MAX(0.001,('Operating Model'!$G$6*14-'Operating Model'!$G$21)/(('Sources &amp; Uses'!$B$18/Assumptions!$B$8)*11*Assumptions!$B$6))&gt;0,MAX(0.001,('Operating Model'!$G$6*14-'Operating Model'!$G$21)/(('Sources &amp; Uses'!$B$18/Assumptions!$B$8)*11*Assumptions!$B$6))^(1/Assumptions!$B$28)-1,"N/A")</f>
        <v>0.275985892725546</v>
      </c>
      <c r="E33" s="56" t="n">
        <f aca="false">IF(MAX(0.001,('Operating Model'!$G$6*14-'Operating Model'!$G$21)/(('Sources &amp; Uses'!$B$18/Assumptions!$B$8)*11.5*Assumptions!$B$6))&gt;0,MAX(0.001,('Operating Model'!$G$6*14-'Operating Model'!$G$21)/(('Sources &amp; Uses'!$B$18/Assumptions!$B$8)*11.5*Assumptions!$B$6))^(1/Assumptions!$B$28)-1,"N/A")</f>
        <v>0.264692205154081</v>
      </c>
      <c r="F33" s="56" t="n">
        <f aca="false">IF(MAX(0.001,('Operating Model'!$G$6*14-'Operating Model'!$G$21)/(('Sources &amp; Uses'!$B$18/Assumptions!$B$8)*12*Assumptions!$B$6))&gt;0,MAX(0.001,('Operating Model'!$G$6*14-'Operating Model'!$G$21)/(('Sources &amp; Uses'!$B$18/Assumptions!$B$8)*12*Assumptions!$B$6))^(1/Assumptions!$B$28)-1,"N/A")</f>
        <v>0.253972928181683</v>
      </c>
      <c r="G33" s="56" t="n">
        <f aca="false">IF(MAX(0.001,('Operating Model'!$G$6*14-'Operating Model'!$G$21)/(('Sources &amp; Uses'!$B$18/Assumptions!$B$8)*12.5*Assumptions!$B$6))&gt;0,MAX(0.001,('Operating Model'!$G$6*14-'Operating Model'!$G$21)/(('Sources &amp; Uses'!$B$18/Assumptions!$B$8)*12.5*Assumptions!$B$6))^(1/Assumptions!$B$28)-1,"N/A")</f>
        <v>0.243776672767327</v>
      </c>
    </row>
    <row r="35" customFormat="false" ht="13.5" hidden="false" customHeight="true" outlineLevel="0" collapsed="false">
      <c r="A35" s="58" t="s">
        <v>180</v>
      </c>
    </row>
  </sheetData>
  <mergeCells count="5">
    <mergeCell ref="A1:G1"/>
    <mergeCell ref="A3:G3"/>
    <mergeCell ref="A11:G11"/>
    <mergeCell ref="A19:G19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2026-04-07T05:05:42Z</dcterms:created>
  <dc:creator>openpyxl</dc:creator>
  <dc:description/>
  <dc:language>en-US</dc:language>
  <cp:lastModifiedBy/>
  <dcterms:modified xsi:type="dcterms:W3CDTF">2026-04-07T05:05:42Z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